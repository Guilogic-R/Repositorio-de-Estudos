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uilh\Desktop\Área de Dados\Carreira\Portifólio\Projetos Terminados\"/>
    </mc:Choice>
  </mc:AlternateContent>
  <xr:revisionPtr revIDLastSave="0" documentId="13_ncr:1_{0F747274-B110-46AA-AF4F-A4F3BC485CEF}" xr6:coauthVersionLast="47" xr6:coauthVersionMax="47" xr10:uidLastSave="{00000000-0000-0000-0000-000000000000}"/>
  <bookViews>
    <workbookView xWindow="-120" yWindow="-120" windowWidth="29040" windowHeight="15840" activeTab="3" xr2:uid="{716B8272-0E0A-47B7-95BB-C47E66B69FD2}"/>
  </bookViews>
  <sheets>
    <sheet name="BACKLOG" sheetId="2" r:id="rId1"/>
    <sheet name="Task | Status" sheetId="3" r:id="rId2"/>
    <sheet name="Task | Priority" sheetId="4" r:id="rId3"/>
    <sheet name="Task | Owner" sheetId="5" r:id="rId4"/>
  </sheets>
  <definedNames>
    <definedName name="_xlnm._FilterDatabase" localSheetId="0" hidden="1">BACKLOG!$B$2:$F$16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2" l="1"/>
  <c r="I2" i="2"/>
</calcChain>
</file>

<file path=xl/sharedStrings.xml><?xml version="1.0" encoding="utf-8"?>
<sst xmlns="http://schemas.openxmlformats.org/spreadsheetml/2006/main" count="69" uniqueCount="35">
  <si>
    <t>Backlog</t>
  </si>
  <si>
    <t>Task</t>
  </si>
  <si>
    <t>Owner</t>
  </si>
  <si>
    <t>Status</t>
  </si>
  <si>
    <t>Data</t>
  </si>
  <si>
    <t>Stuck</t>
  </si>
  <si>
    <t>Done</t>
  </si>
  <si>
    <t>Implement login page</t>
  </si>
  <si>
    <t>Create sales dashboard</t>
  </si>
  <si>
    <t>Adjust mobile layout</t>
  </si>
  <si>
    <t>Review financial report</t>
  </si>
  <si>
    <t>Priority</t>
  </si>
  <si>
    <t>Alice</t>
  </si>
  <si>
    <t>Bob</t>
  </si>
  <si>
    <t>In Progress</t>
  </si>
  <si>
    <t>Charlie</t>
  </si>
  <si>
    <t>Update customer database</t>
  </si>
  <si>
    <t>Implement advanced filters</t>
  </si>
  <si>
    <t>Test API integration</t>
  </si>
  <si>
    <t>Fix form bug</t>
  </si>
  <si>
    <t>Create user tutorial</t>
  </si>
  <si>
    <t>Optimize dashboard performance</t>
  </si>
  <si>
    <t>Migrate data to new database</t>
  </si>
  <si>
    <t>Adjust colors and dark theme</t>
  </si>
  <si>
    <t>Update documentation</t>
  </si>
  <si>
    <t>Automate report delivery</t>
  </si>
  <si>
    <t>Review backlog spreadsheet</t>
  </si>
  <si>
    <t>Total Tasks</t>
  </si>
  <si>
    <t>Completed Tasks</t>
  </si>
  <si>
    <t>Completion Gauge</t>
  </si>
  <si>
    <t>Task_Qty</t>
  </si>
  <si>
    <t>Priority_Level</t>
  </si>
  <si>
    <t>Owners</t>
  </si>
  <si>
    <t xml:space="preserve">Total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</si>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</sst>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5"/>
      <color theme="2" tint="-0.249977111117893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sz val="15"/>
      <color theme="2"/>
      <name val="Aptos Narrow"/>
      <family val="2"/>
      <scheme val="minor"/>
    </font>
    <font>
      <b/>
      <sz val="15"/>
      <color theme="1" tint="0.249977111117893"/>
      <name val="Aptos Narrow"/>
      <family val="2"/>
      <scheme val="minor"/>
    </font>
    <font>
      <b/>
      <sz val="14"/>
      <color theme="2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/>
      <top/>
      <bottom style="thick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ck">
        <color theme="1" tint="0.24994659260841701"/>
      </top>
      <bottom style="thick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</borders>
  <cellStyleXfs count="3">
    <xf numFmtId="0" fontId="0" fillId="0" borderId="0"/>
    <xf numFmtId="0" fontId="1" fillId="0" borderId="2" applyNumberFormat="0" applyFill="0" applyAlignment="0" applyProtection="0"/>
    <xf numFmtId="0" fontId="2" fillId="0" borderId="1" applyNumberFormat="0" applyFill="0" applyAlignment="0" applyProtection="0"/>
  </cellStyleXfs>
  <cellXfs count="25">
    <xf numFmtId="0" fontId="0" fillId="0" borderId="0" xfId="0"/>
    <xf numFmtId="0" fontId="4" fillId="3" borderId="3" xfId="0" applyFont="1" applyFill="1" applyBorder="1" applyAlignment="1">
      <alignment horizontal="center"/>
    </xf>
    <xf numFmtId="0" fontId="0" fillId="4" borderId="0" xfId="0" applyFill="1"/>
    <xf numFmtId="0" fontId="1" fillId="4" borderId="2" xfId="1" applyFill="1" applyAlignment="1"/>
    <xf numFmtId="0" fontId="6" fillId="4" borderId="2" xfId="1" applyFont="1" applyFill="1" applyAlignment="1"/>
    <xf numFmtId="0" fontId="7" fillId="2" borderId="2" xfId="1" applyFont="1" applyFill="1" applyAlignment="1">
      <alignment horizontal="center" vertical="center"/>
    </xf>
    <xf numFmtId="0" fontId="4" fillId="4" borderId="0" xfId="0" applyFont="1" applyFill="1"/>
    <xf numFmtId="0" fontId="7" fillId="2" borderId="2" xfId="1" applyFont="1" applyFill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0" fontId="7" fillId="2" borderId="2" xfId="1" applyFont="1" applyFill="1" applyAlignment="1">
      <alignment horizontal="left" vertical="center"/>
    </xf>
    <xf numFmtId="0" fontId="7" fillId="2" borderId="2" xfId="1" applyFont="1" applyFill="1" applyAlignment="1">
      <alignment horizontal="left"/>
    </xf>
    <xf numFmtId="0" fontId="5" fillId="4" borderId="0" xfId="1" applyFont="1" applyFill="1" applyBorder="1" applyAlignment="1"/>
    <xf numFmtId="0" fontId="1" fillId="4" borderId="0" xfId="1" applyFill="1" applyBorder="1" applyAlignment="1"/>
    <xf numFmtId="0" fontId="4" fillId="3" borderId="5" xfId="0" applyFon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 vertical="center"/>
    </xf>
    <xf numFmtId="0" fontId="4" fillId="2" borderId="6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0" fillId="5" borderId="0" xfId="0" applyFill="1" applyAlignment="1">
      <alignment horizontal="center"/>
    </xf>
    <xf numFmtId="0" fontId="0" fillId="0" borderId="0" xfId="0" pivotButton="1" applyAlignment="1">
      <alignment horizontal="center"/>
    </xf>
    <xf numFmtId="0" fontId="6" fillId="2" borderId="4" xfId="1" applyFont="1" applyFill="1" applyBorder="1" applyAlignment="1">
      <alignment horizontal="left"/>
    </xf>
  </cellXfs>
  <cellStyles count="3">
    <cellStyle name="Normal" xfId="0" builtinId="0"/>
    <cellStyle name="Título 1" xfId="1" builtinId="16" customBuiltin="1"/>
    <cellStyle name="Título 2" xfId="2" builtinId="17" customBuiltin="1"/>
  </cellStyles>
  <dxfs count="30">
    <dxf>
      <font>
        <color theme="2" tint="-0.24994659260841701"/>
      </font>
      <fill>
        <patternFill>
          <bgColor theme="1" tint="0.24994659260841701"/>
        </patternFill>
      </fill>
    </dxf>
    <dxf>
      <font>
        <color theme="2" tint="-0.24994659260841701"/>
      </font>
      <fill>
        <patternFill>
          <fgColor theme="2"/>
          <bgColor theme="1" tint="0.14996795556505021"/>
        </patternFill>
      </fill>
    </dxf>
    <dxf>
      <font>
        <color theme="2" tint="-0.24994659260841701"/>
      </font>
      <fill>
        <patternFill>
          <fgColor theme="2"/>
          <bgColor theme="1" tint="4.9989318521683403E-2"/>
        </patternFill>
      </fill>
    </dxf>
    <dxf>
      <alignment horizontal="center"/>
    </dxf>
    <dxf>
      <alignment horizontal="center"/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alignment horizontal="center"/>
    </dxf>
    <dxf>
      <alignment horizontal="center"/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alignment horizontal="center"/>
    </dxf>
    <dxf>
      <alignment horizontal="center"/>
    </dxf>
    <dxf>
      <fill>
        <patternFill>
          <bgColor theme="1" tint="0.14999847407452621"/>
        </patternFill>
      </fill>
    </dxf>
    <dxf>
      <fill>
        <patternFill>
          <bgColor theme="1" tint="0.14999847407452621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249977111117893"/>
        <name val="Aptos Narrow"/>
        <family val="2"/>
        <scheme val="minor"/>
      </font>
      <fill>
        <patternFill patternType="solid">
          <fgColor indexed="64"/>
          <bgColor theme="2" tint="-0.8999908444471571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249977111117893"/>
        <name val="Aptos Narrow"/>
        <family val="2"/>
        <scheme val="minor"/>
      </font>
      <numFmt numFmtId="164" formatCode="yyyy\-mm\-dd;@"/>
      <fill>
        <patternFill patternType="solid">
          <fgColor indexed="64"/>
          <bgColor theme="2" tint="-0.8999908444471571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249977111117893"/>
        <name val="Aptos Narrow"/>
        <family val="2"/>
        <scheme val="minor"/>
      </font>
      <fill>
        <patternFill patternType="solid">
          <fgColor indexed="64"/>
          <bgColor theme="2" tint="-0.8999908444471571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249977111117893"/>
        <name val="Aptos Narrow"/>
        <family val="2"/>
        <scheme val="minor"/>
      </font>
      <fill>
        <patternFill patternType="solid">
          <fgColor indexed="64"/>
          <bgColor theme="2" tint="-0.8999908444471571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249977111117893"/>
        <name val="Aptos Narrow"/>
        <family val="2"/>
        <scheme val="minor"/>
      </font>
      <fill>
        <patternFill patternType="solid">
          <fgColor indexed="64"/>
          <bgColor theme="2" tint="-0.8999908444471571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/>
        <horizontal/>
      </border>
    </dxf>
    <dxf>
      <border outline="0">
        <top style="thin">
          <color theme="1" tint="0.24994659260841701"/>
        </top>
      </border>
    </dxf>
    <dxf>
      <border outline="0">
        <left style="thin">
          <color theme="1" tint="0.24994659260841701"/>
        </left>
        <top style="thick">
          <color theme="1" tint="0.24994659260841701"/>
        </top>
        <bottom style="thin">
          <color theme="1" tint="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249977111117893"/>
        <name val="Aptos Narrow"/>
        <family val="2"/>
        <scheme val="minor"/>
      </font>
      <fill>
        <patternFill patternType="solid">
          <fgColor indexed="64"/>
          <bgColor theme="2" tint="-0.89999084444715716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 tint="-0.249977111117893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12270B"/>
      <color rgb="FF600000"/>
      <color rgb="FF091406"/>
      <color rgb="FF341506"/>
      <color rgb="FF320000"/>
      <color rgb="FF722E0C"/>
      <color rgb="FFB54913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006009117281388E-2"/>
          <c:y val="0.13358768433247589"/>
          <c:w val="0.88165680473372787"/>
          <c:h val="0.819491036189054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BACKLOG!$H$2</c:f>
              <c:strCache>
                <c:ptCount val="1"/>
                <c:pt idx="0">
                  <c:v>Total Tasks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FD4-4FB5-9A44-B91410AF90F0}"/>
              </c:ext>
            </c:extLst>
          </c:dPt>
          <c:val>
            <c:numRef>
              <c:f>BACKLOG!$I$2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4-4FB5-9A44-B91410AF9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5825855"/>
        <c:axId val="345826335"/>
      </c:barChart>
      <c:barChart>
        <c:barDir val="col"/>
        <c:grouping val="stacked"/>
        <c:varyColors val="0"/>
        <c:ser>
          <c:idx val="1"/>
          <c:order val="1"/>
          <c:tx>
            <c:strRef>
              <c:f>BACKLOG!$H$3</c:f>
              <c:strCache>
                <c:ptCount val="1"/>
                <c:pt idx="0">
                  <c:v>Completed Tasks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9140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FD4-4FB5-9A44-B91410AF90F0}"/>
              </c:ext>
            </c:extLst>
          </c:dPt>
          <c:val>
            <c:numRef>
              <c:f>BACKLOG!$I$3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D4-4FB5-9A44-B91410AF9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4697215"/>
        <c:axId val="644696735"/>
      </c:barChart>
      <c:catAx>
        <c:axId val="3458258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5826335"/>
        <c:crosses val="autoZero"/>
        <c:auto val="1"/>
        <c:lblAlgn val="ctr"/>
        <c:lblOffset val="100"/>
        <c:noMultiLvlLbl val="0"/>
      </c:catAx>
      <c:valAx>
        <c:axId val="3458263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825855"/>
        <c:crosses val="autoZero"/>
        <c:crossBetween val="between"/>
      </c:valAx>
      <c:valAx>
        <c:axId val="64469673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644697215"/>
        <c:crosses val="max"/>
        <c:crossBetween val="between"/>
      </c:valAx>
      <c:catAx>
        <c:axId val="644697215"/>
        <c:scaling>
          <c:orientation val="minMax"/>
        </c:scaling>
        <c:delete val="1"/>
        <c:axPos val="b"/>
        <c:majorTickMark val="out"/>
        <c:minorTickMark val="none"/>
        <c:tickLblPos val="nextTo"/>
        <c:crossAx val="644696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642445285539E-2"/>
          <c:y val="4.150194768791135E-2"/>
          <c:w val="0.93888888888888888"/>
          <c:h val="0.898148148148148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BACKLOG!$H$2</c:f>
              <c:strCache>
                <c:ptCount val="1"/>
                <c:pt idx="0">
                  <c:v>Total Tasks</c:v>
                </c:pt>
              </c:strCache>
            </c:strRef>
          </c:tx>
          <c:spPr>
            <a:solidFill>
              <a:schemeClr val="bg2">
                <a:lumMod val="10000"/>
              </a:schemeClr>
            </a:solidFill>
            <a:ln>
              <a:noFill/>
            </a:ln>
            <a:effectLst/>
          </c:spPr>
          <c:invertIfNegative val="0"/>
          <c:val>
            <c:numRef>
              <c:f>BACKLOG!$I$2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D-46B2-8981-4087EC1BF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7032751"/>
        <c:axId val="677037071"/>
      </c:barChart>
      <c:barChart>
        <c:barDir val="col"/>
        <c:grouping val="clustered"/>
        <c:varyColors val="0"/>
        <c:ser>
          <c:idx val="1"/>
          <c:order val="1"/>
          <c:tx>
            <c:strRef>
              <c:f>BACKLOG!$H$3</c:f>
              <c:strCache>
                <c:ptCount val="1"/>
                <c:pt idx="0">
                  <c:v>Completed Tasks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2B1A-42CB-8B7F-188CAC84E645}"/>
              </c:ext>
            </c:extLst>
          </c:dPt>
          <c:val>
            <c:numRef>
              <c:f>BACKLOG!$I$3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9D-46B2-8981-4087EC1BF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5582399"/>
        <c:axId val="625590079"/>
      </c:barChart>
      <c:catAx>
        <c:axId val="6770327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77037071"/>
        <c:crosses val="autoZero"/>
        <c:auto val="1"/>
        <c:lblAlgn val="ctr"/>
        <c:lblOffset val="100"/>
        <c:noMultiLvlLbl val="0"/>
      </c:catAx>
      <c:valAx>
        <c:axId val="6770370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7032751"/>
        <c:crosses val="autoZero"/>
        <c:crossBetween val="between"/>
      </c:valAx>
      <c:valAx>
        <c:axId val="625590079"/>
        <c:scaling>
          <c:orientation val="minMax"/>
          <c:max val="16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5582399"/>
        <c:crosses val="max"/>
        <c:crossBetween val="between"/>
      </c:valAx>
      <c:catAx>
        <c:axId val="625582399"/>
        <c:scaling>
          <c:orientation val="minMax"/>
        </c:scaling>
        <c:delete val="1"/>
        <c:axPos val="b"/>
        <c:majorTickMark val="out"/>
        <c:minorTickMark val="none"/>
        <c:tickLblPos val="nextTo"/>
        <c:crossAx val="625590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[Backlog_Project.xlsx]Task | Status!Tabela dinâmica1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1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25000"/>
                      <a:lumOff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25000"/>
                      <a:lumOff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25000"/>
                      <a:lumOff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857022551659692E-2"/>
          <c:y val="5.0925925925925923E-2"/>
          <c:w val="0.78960647051060762"/>
          <c:h val="0.89814814814814814"/>
        </c:manualLayout>
      </c:layout>
      <c:pieChart>
        <c:varyColors val="1"/>
        <c:ser>
          <c:idx val="0"/>
          <c:order val="0"/>
          <c:tx>
            <c:strRef>
              <c:f>'Task | Status'!$B$1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BD1-48DA-BD22-EC39709AAA67}"/>
              </c:ext>
            </c:extLst>
          </c:dPt>
          <c:dPt>
            <c:idx val="1"/>
            <c:bubble3D val="0"/>
            <c:spPr>
              <a:solidFill>
                <a:schemeClr val="bg2">
                  <a:lumMod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BD1-48DA-BD22-EC39709AAA67}"/>
              </c:ext>
            </c:extLst>
          </c:dPt>
          <c:dPt>
            <c:idx val="2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BD1-48DA-BD22-EC39709AAA6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>
                          <a:lumMod val="25000"/>
                          <a:lumOff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BD1-48DA-BD22-EC39709AAA6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>
                          <a:lumMod val="25000"/>
                          <a:lumOff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BD1-48DA-BD22-EC39709AAA6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>
                          <a:lumMod val="25000"/>
                          <a:lumOff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BD1-48DA-BD22-EC39709AAA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| Status'!$A$2:$A$5</c:f>
              <c:strCache>
                <c:ptCount val="3"/>
                <c:pt idx="0">
                  <c:v>Done</c:v>
                </c:pt>
                <c:pt idx="1">
                  <c:v>In Progress</c:v>
                </c:pt>
                <c:pt idx="2">
                  <c:v>Stuck</c:v>
                </c:pt>
              </c:strCache>
            </c:strRef>
          </c:cat>
          <c:val>
            <c:numRef>
              <c:f>'Task | Status'!$B$2:$B$5</c:f>
              <c:numCache>
                <c:formatCode>General</c:formatCode>
                <c:ptCount val="3"/>
                <c:pt idx="0">
                  <c:v>6</c:v>
                </c:pt>
                <c:pt idx="1">
                  <c:v>3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1-48DA-BD22-EC39709AA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25000"/>
                  <a:lumOff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[Backlog_Project.xlsx]Task | Priority!Tabela dinâmica2</c:name>
    <c:fmtId val="0"/>
  </c:pivotSource>
  <c:chart>
    <c:autoTitleDeleted val="1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25000"/>
                      <a:lumOff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bg2">
              <a:lumMod val="2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bg2">
              <a:lumMod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1522737923935257"/>
          <c:y val="5.0925925925925923E-2"/>
          <c:w val="0.67722441889070761"/>
          <c:h val="0.89814814814814814"/>
        </c:manualLayout>
      </c:layout>
      <c:doughnutChart>
        <c:varyColors val="1"/>
        <c:ser>
          <c:idx val="0"/>
          <c:order val="0"/>
          <c:tx>
            <c:strRef>
              <c:f>'Task | Priority'!$B$1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AA5-450C-8928-F0E06523ADEA}"/>
              </c:ext>
            </c:extLst>
          </c:dPt>
          <c:dPt>
            <c:idx val="1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AA5-450C-8928-F0E06523ADEA}"/>
              </c:ext>
            </c:extLst>
          </c:dPt>
          <c:dPt>
            <c:idx val="2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7AA5-450C-8928-F0E06523ADEA}"/>
              </c:ext>
            </c:extLst>
          </c:dPt>
          <c:dPt>
            <c:idx val="3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AA5-450C-8928-F0E06523AD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25000"/>
                        <a:lumOff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| Priority'!$A$2:$A$6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'Task | Priority'!$B$2:$B$6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5-450C-8928-F0E06523AD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25000"/>
                  <a:lumOff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711200</xdr:colOff>
      <xdr:row>1</xdr:row>
      <xdr:rowOff>247650</xdr:rowOff>
    </xdr:from>
    <xdr:to>
      <xdr:col>6</xdr:col>
      <xdr:colOff>1676400</xdr:colOff>
      <xdr:row>16</xdr:row>
      <xdr:rowOff>146050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FC614B-3CD6-4B9A-9B58-A0108B905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873671</xdr:colOff>
      <xdr:row>3</xdr:row>
      <xdr:rowOff>165954</xdr:rowOff>
    </xdr:from>
    <xdr:to>
      <xdr:col>7</xdr:col>
      <xdr:colOff>1832741</xdr:colOff>
      <xdr:row>17</xdr:row>
      <xdr:rowOff>106832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0F43995-6D62-C24B-F6CE-ADB483132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683775</xdr:colOff>
      <xdr:row>2</xdr:row>
      <xdr:rowOff>6728</xdr:rowOff>
    </xdr:from>
    <xdr:to>
      <xdr:col>10</xdr:col>
      <xdr:colOff>363896</xdr:colOff>
      <xdr:row>16</xdr:row>
      <xdr:rowOff>82928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5E9A98-B4B0-5430-3733-E5BBFEC07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102453</xdr:colOff>
      <xdr:row>2</xdr:row>
      <xdr:rowOff>4763</xdr:rowOff>
    </xdr:from>
    <xdr:to>
      <xdr:col>10</xdr:col>
      <xdr:colOff>213964</xdr:colOff>
      <xdr:row>16</xdr:row>
      <xdr:rowOff>80963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7245FC-0F85-3843-3ABB-22213797B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932447</xdr:colOff>
      <xdr:row>7</xdr:row>
      <xdr:rowOff>161854</xdr:rowOff>
    </xdr:from>
    <xdr:to>
      <xdr:col>8</xdr:col>
      <xdr:colOff>255671</xdr:colOff>
      <xdr:row>11</xdr:row>
      <xdr:rowOff>21485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7D44981-ECF6-F85F-0B3A-9B2EE0707A30}"/>
            </a:ext>
          </a:extLst>
        </xdr:cNvPr>
        <xdr:cNvSpPr txBox="1"/>
      </xdr:nvSpPr>
      <xdr:spPr>
        <a:xfrm>
          <a:off x="2161626" y="1495354"/>
          <a:ext cx="4149224" cy="62163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200">
              <a:solidFill>
                <a:schemeClr val="tx2">
                  <a:lumMod val="25000"/>
                  <a:lumOff val="75000"/>
                </a:schemeClr>
              </a:solidFill>
            </a:rPr>
            <a:t>Each owner has 5</a:t>
          </a:r>
          <a:r>
            <a:rPr lang="pt-BR" sz="3200" baseline="0">
              <a:solidFill>
                <a:schemeClr val="tx2">
                  <a:lumMod val="25000"/>
                  <a:lumOff val="75000"/>
                </a:schemeClr>
              </a:solidFill>
            </a:rPr>
            <a:t> tasks.</a:t>
          </a:r>
          <a:endParaRPr lang="pt-BR" sz="3200">
            <a:solidFill>
              <a:schemeClr val="tx2">
                <a:lumMod val="25000"/>
                <a:lumOff val="7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Ribeiro" refreshedDate="45966.99375439815" createdVersion="8" refreshedVersion="8" minRefreshableVersion="3" recordCount="15" xr:uid="{FC9D0802-C36B-4B0B-AAEE-1079C874FFC2}">
  <cacheSource type="worksheet">
    <worksheetSource name="Tabela2"/>
  </cacheSource>
  <cacheFields count="5">
    <cacheField name="Task" numFmtId="0">
      <sharedItems count="15">
        <s v="Implement login page"/>
        <s v="Create sales dashboard"/>
        <s v="Adjust mobile layout"/>
        <s v="Review financial report"/>
        <s v="Update customer database"/>
        <s v="Implement advanced filters"/>
        <s v="Test API integration"/>
        <s v="Fix form bug"/>
        <s v="Create user tutorial"/>
        <s v="Optimize dashboard performance"/>
        <s v="Migrate data to new database"/>
        <s v="Adjust colors and dark theme"/>
        <s v="Update documentation"/>
        <s v="Automate report delivery"/>
        <s v="Review backlog spreadsheet"/>
      </sharedItems>
    </cacheField>
    <cacheField name="Owner" numFmtId="0">
      <sharedItems count="3">
        <s v="Alice"/>
        <s v="Bob"/>
        <s v="Charlie"/>
      </sharedItems>
    </cacheField>
    <cacheField name="Status" numFmtId="0">
      <sharedItems count="3">
        <s v="Stuck"/>
        <s v="Done"/>
        <s v="In Progress"/>
      </sharedItems>
    </cacheField>
    <cacheField name="Data" numFmtId="164">
      <sharedItems containsSemiMixedTypes="0" containsNonDate="0" containsDate="1" containsString="0" minDate="2025-11-01T00:00:00" maxDate="2025-11-16T00:00:00"/>
    </cacheField>
    <cacheField name="Priority" numFmtId="0">
      <sharedItems containsSemiMixedTypes="0" containsString="0" containsNumber="1" containsInteger="1" minValue="1" maxValue="4" count="4">
        <n v="2"/>
        <n v="3"/>
        <n v="4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d v="2025-11-01T00:00:00"/>
    <x v="0"/>
  </r>
  <r>
    <x v="1"/>
    <x v="1"/>
    <x v="1"/>
    <d v="2025-11-02T00:00:00"/>
    <x v="1"/>
  </r>
  <r>
    <x v="2"/>
    <x v="2"/>
    <x v="0"/>
    <d v="2025-11-03T00:00:00"/>
    <x v="0"/>
  </r>
  <r>
    <x v="3"/>
    <x v="0"/>
    <x v="1"/>
    <d v="2025-11-04T00:00:00"/>
    <x v="1"/>
  </r>
  <r>
    <x v="4"/>
    <x v="1"/>
    <x v="1"/>
    <d v="2025-11-05T00:00:00"/>
    <x v="2"/>
  </r>
  <r>
    <x v="5"/>
    <x v="2"/>
    <x v="2"/>
    <d v="2025-11-06T00:00:00"/>
    <x v="0"/>
  </r>
  <r>
    <x v="6"/>
    <x v="0"/>
    <x v="0"/>
    <d v="2025-11-07T00:00:00"/>
    <x v="3"/>
  </r>
  <r>
    <x v="7"/>
    <x v="1"/>
    <x v="1"/>
    <d v="2025-11-08T00:00:00"/>
    <x v="2"/>
  </r>
  <r>
    <x v="8"/>
    <x v="2"/>
    <x v="0"/>
    <d v="2025-11-09T00:00:00"/>
    <x v="3"/>
  </r>
  <r>
    <x v="9"/>
    <x v="0"/>
    <x v="1"/>
    <d v="2025-11-10T00:00:00"/>
    <x v="2"/>
  </r>
  <r>
    <x v="10"/>
    <x v="1"/>
    <x v="2"/>
    <d v="2025-11-11T00:00:00"/>
    <x v="1"/>
  </r>
  <r>
    <x v="11"/>
    <x v="2"/>
    <x v="1"/>
    <d v="2025-11-12T00:00:00"/>
    <x v="2"/>
  </r>
  <r>
    <x v="12"/>
    <x v="0"/>
    <x v="2"/>
    <d v="2025-11-13T00:00:00"/>
    <x v="0"/>
  </r>
  <r>
    <x v="13"/>
    <x v="1"/>
    <x v="0"/>
    <d v="2025-11-14T00:00:00"/>
    <x v="0"/>
  </r>
  <r>
    <x v="14"/>
    <x v="2"/>
    <x v="0"/>
    <d v="2025-11-15T00:00: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2B308-E08D-4C4F-BCC8-412653768630}" name="Tabela dinâmica1" cacheId="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17" rowHeaderCaption="Status">
  <location ref="A1:B5" firstHeaderRow="1" firstDataRow="1" firstDataCol="1"/>
  <pivotFields count="5">
    <pivotField dataField="1" showAll="0">
      <items count="16">
        <item x="11"/>
        <item x="2"/>
        <item x="13"/>
        <item x="1"/>
        <item x="8"/>
        <item x="7"/>
        <item x="5"/>
        <item x="0"/>
        <item x="10"/>
        <item x="9"/>
        <item x="14"/>
        <item x="3"/>
        <item x="6"/>
        <item x="4"/>
        <item x="12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numFmtId="164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ask_Qty" fld="0" subtotal="count" baseField="0" baseItem="0"/>
  </dataFields>
  <formats count="9">
    <format dxfId="19">
      <pivotArea dataOnly="0" labelOnly="1" fieldPosition="0">
        <references count="1">
          <reference field="2" count="1">
            <x v="2"/>
          </reference>
        </references>
      </pivotArea>
    </format>
    <format dxfId="18">
      <pivotArea dataOnly="0" labelOnly="1" fieldPosition="0">
        <references count="1">
          <reference field="2" count="1">
            <x v="1"/>
          </reference>
        </references>
      </pivotArea>
    </format>
    <format dxfId="17">
      <pivotArea dataOnly="0" labelOnly="1" fieldPosition="0">
        <references count="1">
          <reference field="2" count="1">
            <x v="0"/>
          </reference>
        </references>
      </pivotArea>
    </format>
    <format dxfId="16">
      <pivotArea collapsedLevelsAreSubtotals="1" fieldPosition="0">
        <references count="1">
          <reference field="2" count="0"/>
        </references>
      </pivotArea>
    </format>
    <format dxfId="15">
      <pivotArea dataOnly="0" labelOnly="1" fieldPosition="0">
        <references count="1">
          <reference field="2" count="0"/>
        </references>
      </pivotArea>
    </format>
    <format dxfId="14">
      <pivotArea collapsedLevelsAreSubtotals="1" fieldPosition="0">
        <references count="1">
          <reference field="2" count="0"/>
        </references>
      </pivotArea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outline="0" axis="axisValues" fieldPosition="0"/>
    </format>
    <format dxfId="11">
      <pivotArea field="2" type="button" dataOnly="0" labelOnly="1" outline="0" axis="axisRow" fieldPosition="0"/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49416-C116-4A02-8A27-4741E8CCCB6C}" name="Tabela dinâmica2" cacheId="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8" rowHeaderCaption="Priority_Level">
  <location ref="A1:B6" firstHeaderRow="1" firstDataRow="1" firstDataCol="1"/>
  <pivotFields count="5">
    <pivotField dataField="1" showAll="0"/>
    <pivotField showAll="0"/>
    <pivotField showAll="0"/>
    <pivotField numFmtId="164" showAll="0"/>
    <pivotField axis="axisRow" showAll="0">
      <items count="5">
        <item x="3"/>
        <item x="0"/>
        <item x="1"/>
        <item x="2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ask_Qty" fld="0" subtotal="count" baseField="0" baseItem="0"/>
  </dataFields>
  <formats count="4">
    <format dxfId="10">
      <pivotArea collapsedLevelsAreSubtotals="1" fieldPosition="0">
        <references count="1">
          <reference field="4" count="0"/>
        </references>
      </pivotArea>
    </format>
    <format dxfId="9">
      <pivotArea dataOnly="0" labelOnly="1" fieldPosition="0">
        <references count="1">
          <reference field="4" count="0"/>
        </references>
      </pivotArea>
    </format>
    <format dxfId="8">
      <pivotArea dataOnly="0" labelOnly="1" outline="0" axis="axisValues" fieldPosition="0"/>
    </format>
    <format dxfId="7">
      <pivotArea field="4" type="button" dataOnly="0" labelOnly="1" outline="0" axis="axisRow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703B8-C13A-4959-ADA1-E74BA0D88AA5}" name="Tabela dinâmica13" cacheId="0" applyNumberFormats="0" applyBorderFormats="0" applyFontFormats="0" applyPatternFormats="0" applyAlignmentFormats="0" applyWidthHeightFormats="1" dataCaption="Valores" grandTotalCaption="Total " updatedVersion="8" minRefreshableVersion="3" useAutoFormatting="1" itemPrintTitles="1" createdVersion="8" indent="0" outline="1" outlineData="1" multipleFieldFilters="0" rowHeaderCaption="Owners">
  <location ref="A1:B5" firstHeaderRow="1" firstDataRow="1" firstDataCol="1"/>
  <pivotFields count="5"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numFmtId="164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ask_Qty" fld="0" subtotal="count" baseField="0" baseItem="0"/>
  </dataFields>
  <formats count="4">
    <format dxfId="6">
      <pivotArea collapsedLevelsAreSubtotals="1" fieldPosition="0">
        <references count="1">
          <reference field="1" count="0"/>
        </references>
      </pivotArea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field="1" type="button" dataOnly="0" labelOnly="1" outline="0" axis="axisRow" fieldPosition="0"/>
    </format>
  </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FE873F-6079-48BD-B851-5B7C6ADE6F52}" name="Tabela2" displayName="Tabela2" ref="B2:F17" totalsRowShown="0" headerRowDxfId="29" dataDxfId="27" headerRowBorderDxfId="28" tableBorderDxfId="26" totalsRowBorderDxfId="25" headerRowCellStyle="Título 1">
  <autoFilter ref="B2:F17" xr:uid="{66FE873F-6079-48BD-B851-5B7C6ADE6F52}"/>
  <tableColumns count="5">
    <tableColumn id="1" xr3:uid="{6B32A0F0-50CD-4C56-8386-F98A0E365FDC}" name="Task" dataDxfId="24"/>
    <tableColumn id="2" xr3:uid="{9930081B-680F-47F4-9E9E-3208A5C01EEA}" name="Owner" dataDxfId="23"/>
    <tableColumn id="3" xr3:uid="{76B7F7D2-1C13-4F6C-A40C-98B2C197846B}" name="Status" dataDxfId="22"/>
    <tableColumn id="4" xr3:uid="{858C90A2-2B68-4552-80F9-2AA16511E626}" name="Data" dataDxfId="21"/>
    <tableColumn id="5" xr3:uid="{C6C5DCF1-C881-454A-B9B3-ED01343B707D}" name="Priority" dataDxfId="2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3561-65F5-4FA1-B312-C6B0D9E376AF}">
  <sheetPr>
    <tabColor theme="1"/>
  </sheetPr>
  <dimension ref="A1:K17"/>
  <sheetViews>
    <sheetView zoomScale="190" zoomScaleNormal="190" workbookViewId="0">
      <selection activeCell="C23" sqref="C23"/>
    </sheetView>
  </sheetViews>
  <sheetFormatPr defaultRowHeight="15" x14ac:dyDescent="0.25"/>
  <cols>
    <col min="1" max="1" width="2.5703125" style="2" customWidth="1"/>
    <col min="2" max="2" width="31.42578125" style="2" bestFit="1" customWidth="1"/>
    <col min="3" max="3" width="15.28515625" style="2" customWidth="1"/>
    <col min="4" max="4" width="17.5703125" style="2" customWidth="1"/>
    <col min="5" max="6" width="15.5703125" style="2" customWidth="1"/>
    <col min="7" max="7" width="2.5703125" style="2" customWidth="1"/>
    <col min="8" max="8" width="29.28515625" style="2" customWidth="1"/>
    <col min="9" max="16384" width="9.140625" style="2"/>
  </cols>
  <sheetData>
    <row r="1" spans="1:11" ht="20.25" customHeight="1" thickBot="1" x14ac:dyDescent="0.35">
      <c r="A1" s="4" t="s">
        <v>0</v>
      </c>
      <c r="B1" s="11"/>
      <c r="C1" s="12"/>
      <c r="D1" s="12"/>
      <c r="E1" s="12"/>
      <c r="F1" s="12"/>
      <c r="H1" s="3"/>
      <c r="I1" s="3"/>
    </row>
    <row r="2" spans="1:11" ht="21" thickTop="1" thickBot="1" x14ac:dyDescent="0.3">
      <c r="A2" s="15"/>
      <c r="B2" s="5" t="s">
        <v>1</v>
      </c>
      <c r="C2" s="5" t="s">
        <v>2</v>
      </c>
      <c r="D2" s="5" t="s">
        <v>3</v>
      </c>
      <c r="E2" s="5" t="s">
        <v>4</v>
      </c>
      <c r="F2" s="5" t="s">
        <v>11</v>
      </c>
      <c r="H2" s="9" t="s">
        <v>27</v>
      </c>
      <c r="I2" s="5">
        <f>COUNTA(B3:B17)</f>
        <v>15</v>
      </c>
    </row>
    <row r="3" spans="1:11" ht="20.25" thickTop="1" thickBot="1" x14ac:dyDescent="0.35">
      <c r="A3" s="16"/>
      <c r="B3" s="1" t="s">
        <v>7</v>
      </c>
      <c r="C3" s="1" t="s">
        <v>12</v>
      </c>
      <c r="D3" s="1" t="s">
        <v>5</v>
      </c>
      <c r="E3" s="8">
        <v>45962</v>
      </c>
      <c r="F3" s="1">
        <v>2</v>
      </c>
      <c r="H3" s="10" t="s">
        <v>28</v>
      </c>
      <c r="I3" s="7">
        <f>COUNTIF(D3:D17,"Done")</f>
        <v>6</v>
      </c>
    </row>
    <row r="4" spans="1:11" ht="19.5" customHeight="1" thickTop="1" thickBot="1" x14ac:dyDescent="0.35">
      <c r="A4" s="16"/>
      <c r="B4" s="1" t="s">
        <v>8</v>
      </c>
      <c r="C4" s="1" t="s">
        <v>13</v>
      </c>
      <c r="D4" s="1" t="s">
        <v>6</v>
      </c>
      <c r="E4" s="8">
        <v>45963</v>
      </c>
      <c r="F4" s="1">
        <v>3</v>
      </c>
      <c r="H4" s="24" t="s">
        <v>29</v>
      </c>
      <c r="I4" s="24"/>
    </row>
    <row r="5" spans="1:11" ht="15.75" thickTop="1" x14ac:dyDescent="0.25">
      <c r="A5" s="16"/>
      <c r="B5" s="1" t="s">
        <v>9</v>
      </c>
      <c r="C5" s="1" t="s">
        <v>15</v>
      </c>
      <c r="D5" s="1" t="s">
        <v>5</v>
      </c>
      <c r="E5" s="8">
        <v>45964</v>
      </c>
      <c r="F5" s="1">
        <v>2</v>
      </c>
    </row>
    <row r="6" spans="1:11" x14ac:dyDescent="0.25">
      <c r="A6" s="16"/>
      <c r="B6" s="1" t="s">
        <v>10</v>
      </c>
      <c r="C6" s="1" t="s">
        <v>12</v>
      </c>
      <c r="D6" s="1" t="s">
        <v>6</v>
      </c>
      <c r="E6" s="8">
        <v>45965</v>
      </c>
      <c r="F6" s="1">
        <v>3</v>
      </c>
      <c r="K6" s="6"/>
    </row>
    <row r="7" spans="1:11" x14ac:dyDescent="0.25">
      <c r="A7" s="16"/>
      <c r="B7" s="1" t="s">
        <v>16</v>
      </c>
      <c r="C7" s="1" t="s">
        <v>13</v>
      </c>
      <c r="D7" s="1" t="s">
        <v>6</v>
      </c>
      <c r="E7" s="8">
        <v>45966</v>
      </c>
      <c r="F7" s="1">
        <v>4</v>
      </c>
    </row>
    <row r="8" spans="1:11" x14ac:dyDescent="0.25">
      <c r="A8" s="16"/>
      <c r="B8" s="1" t="s">
        <v>17</v>
      </c>
      <c r="C8" s="1" t="s">
        <v>15</v>
      </c>
      <c r="D8" s="1" t="s">
        <v>14</v>
      </c>
      <c r="E8" s="8">
        <v>45967</v>
      </c>
      <c r="F8" s="1">
        <v>2</v>
      </c>
    </row>
    <row r="9" spans="1:11" x14ac:dyDescent="0.25">
      <c r="A9" s="16"/>
      <c r="B9" s="1" t="s">
        <v>18</v>
      </c>
      <c r="C9" s="1" t="s">
        <v>12</v>
      </c>
      <c r="D9" s="1" t="s">
        <v>5</v>
      </c>
      <c r="E9" s="8">
        <v>45968</v>
      </c>
      <c r="F9" s="1">
        <v>1</v>
      </c>
    </row>
    <row r="10" spans="1:11" x14ac:dyDescent="0.25">
      <c r="A10" s="16"/>
      <c r="B10" s="1" t="s">
        <v>19</v>
      </c>
      <c r="C10" s="1" t="s">
        <v>13</v>
      </c>
      <c r="D10" s="1" t="s">
        <v>6</v>
      </c>
      <c r="E10" s="8">
        <v>45969</v>
      </c>
      <c r="F10" s="1">
        <v>4</v>
      </c>
    </row>
    <row r="11" spans="1:11" x14ac:dyDescent="0.25">
      <c r="A11" s="16"/>
      <c r="B11" s="1" t="s">
        <v>20</v>
      </c>
      <c r="C11" s="1" t="s">
        <v>15</v>
      </c>
      <c r="D11" s="1" t="s">
        <v>5</v>
      </c>
      <c r="E11" s="8">
        <v>45970</v>
      </c>
      <c r="F11" s="1">
        <v>1</v>
      </c>
    </row>
    <row r="12" spans="1:11" x14ac:dyDescent="0.25">
      <c r="A12" s="16"/>
      <c r="B12" s="1" t="s">
        <v>21</v>
      </c>
      <c r="C12" s="1" t="s">
        <v>12</v>
      </c>
      <c r="D12" s="1" t="s">
        <v>6</v>
      </c>
      <c r="E12" s="8">
        <v>45971</v>
      </c>
      <c r="F12" s="1">
        <v>4</v>
      </c>
    </row>
    <row r="13" spans="1:11" x14ac:dyDescent="0.25">
      <c r="A13" s="16"/>
      <c r="B13" s="1" t="s">
        <v>22</v>
      </c>
      <c r="C13" s="1" t="s">
        <v>13</v>
      </c>
      <c r="D13" s="1" t="s">
        <v>14</v>
      </c>
      <c r="E13" s="8">
        <v>45972</v>
      </c>
      <c r="F13" s="1">
        <v>3</v>
      </c>
    </row>
    <row r="14" spans="1:11" x14ac:dyDescent="0.25">
      <c r="A14" s="16"/>
      <c r="B14" s="1" t="s">
        <v>23</v>
      </c>
      <c r="C14" s="1" t="s">
        <v>15</v>
      </c>
      <c r="D14" s="1" t="s">
        <v>6</v>
      </c>
      <c r="E14" s="8">
        <v>45973</v>
      </c>
      <c r="F14" s="1">
        <v>4</v>
      </c>
    </row>
    <row r="15" spans="1:11" x14ac:dyDescent="0.25">
      <c r="A15" s="16"/>
      <c r="B15" s="1" t="s">
        <v>24</v>
      </c>
      <c r="C15" s="1" t="s">
        <v>12</v>
      </c>
      <c r="D15" s="1" t="s">
        <v>14</v>
      </c>
      <c r="E15" s="8">
        <v>45974</v>
      </c>
      <c r="F15" s="1">
        <v>2</v>
      </c>
    </row>
    <row r="16" spans="1:11" x14ac:dyDescent="0.25">
      <c r="A16" s="16"/>
      <c r="B16" s="1" t="s">
        <v>25</v>
      </c>
      <c r="C16" s="1" t="s">
        <v>13</v>
      </c>
      <c r="D16" s="1" t="s">
        <v>5</v>
      </c>
      <c r="E16" s="8">
        <v>45975</v>
      </c>
      <c r="F16" s="1">
        <v>2</v>
      </c>
    </row>
    <row r="17" spans="1:6" x14ac:dyDescent="0.25">
      <c r="A17" s="16"/>
      <c r="B17" s="1" t="s">
        <v>26</v>
      </c>
      <c r="C17" s="13" t="s">
        <v>15</v>
      </c>
      <c r="D17" s="13" t="s">
        <v>5</v>
      </c>
      <c r="E17" s="14">
        <v>45976</v>
      </c>
      <c r="F17" s="13">
        <v>1</v>
      </c>
    </row>
  </sheetData>
  <mergeCells count="1">
    <mergeCell ref="H4:I4"/>
  </mergeCells>
  <conditionalFormatting sqref="D3:D17">
    <cfRule type="expression" dxfId="2" priority="1">
      <formula>$D3="Stuck"</formula>
    </cfRule>
    <cfRule type="expression" dxfId="1" priority="2">
      <formula>$D3="In Progress"</formula>
    </cfRule>
    <cfRule type="expression" dxfId="0" priority="3">
      <formula>$D3="Done"</formula>
    </cfRule>
  </conditionalFormatting>
  <dataValidations count="1">
    <dataValidation type="list" allowBlank="1" showInputMessage="1" showErrorMessage="1" sqref="D3:D17" xr:uid="{15B00884-2D11-42FC-8EEB-488E5CE910BA}">
      <formula1>"Stuck,In Progress,Done"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B8676E3D-7995-4F2B-B716-68F910BBDCD3}">
            <x14:iconSet iconSet="4Rating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Icon iconSet="5Rating" iconId="1"/>
              <x14:cfIcon iconSet="5Rating" iconId="2"/>
              <x14:cfIcon iconSet="5Rating" iconId="3"/>
              <x14:cfIcon iconSet="5Rating" iconId="4"/>
            </x14:iconSet>
          </x14:cfRule>
          <xm:sqref>F3:F17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6A63-B8D2-4E0D-BB59-92A93459E44F}">
  <sheetPr>
    <tabColor theme="2" tint="-0.89999084444715716"/>
  </sheetPr>
  <dimension ref="A1:B5"/>
  <sheetViews>
    <sheetView zoomScale="210" zoomScaleNormal="210" workbookViewId="0">
      <selection activeCell="B25" sqref="B25"/>
    </sheetView>
  </sheetViews>
  <sheetFormatPr defaultRowHeight="15" x14ac:dyDescent="0.25"/>
  <cols>
    <col min="1" max="1" width="18.42578125" style="2" bestFit="1" customWidth="1"/>
    <col min="2" max="2" width="17.7109375" style="2" bestFit="1" customWidth="1"/>
    <col min="3" max="3" width="11" style="2" bestFit="1" customWidth="1"/>
    <col min="4" max="4" width="6" style="2" bestFit="1" customWidth="1"/>
    <col min="5" max="5" width="10.7109375" style="2" bestFit="1" customWidth="1"/>
    <col min="6" max="16384" width="9.140625" style="2"/>
  </cols>
  <sheetData>
    <row r="1" spans="1:2" x14ac:dyDescent="0.25">
      <c r="A1" s="23" t="s">
        <v>3</v>
      </c>
      <c r="B1" s="19" t="s">
        <v>30</v>
      </c>
    </row>
    <row r="2" spans="1:2" x14ac:dyDescent="0.25">
      <c r="A2" s="22" t="s">
        <v>6</v>
      </c>
      <c r="B2" s="21">
        <v>6</v>
      </c>
    </row>
    <row r="3" spans="1:2" x14ac:dyDescent="0.25">
      <c r="A3" s="22" t="s">
        <v>14</v>
      </c>
      <c r="B3" s="21">
        <v>3</v>
      </c>
    </row>
    <row r="4" spans="1:2" x14ac:dyDescent="0.25">
      <c r="A4" s="22" t="s">
        <v>5</v>
      </c>
      <c r="B4" s="21">
        <v>6</v>
      </c>
    </row>
    <row r="5" spans="1:2" x14ac:dyDescent="0.25">
      <c r="A5" s="17" t="s">
        <v>34</v>
      </c>
      <c r="B5" s="18">
        <v>15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73F86-507F-4219-BBE4-05F2693E147C}">
  <sheetPr>
    <tabColor theme="2" tint="-0.89999084444715716"/>
  </sheetPr>
  <dimension ref="A1:B6"/>
  <sheetViews>
    <sheetView zoomScale="210" zoomScaleNormal="210" workbookViewId="0">
      <selection activeCell="B25" sqref="B25"/>
    </sheetView>
  </sheetViews>
  <sheetFormatPr defaultRowHeight="15" x14ac:dyDescent="0.25"/>
  <cols>
    <col min="1" max="1" width="18.42578125" style="2" bestFit="1" customWidth="1"/>
    <col min="2" max="2" width="17.7109375" style="2" bestFit="1" customWidth="1"/>
    <col min="3" max="16384" width="9.140625" style="2"/>
  </cols>
  <sheetData>
    <row r="1" spans="1:2" x14ac:dyDescent="0.25">
      <c r="A1" s="23" t="s">
        <v>31</v>
      </c>
      <c r="B1" s="19" t="s">
        <v>30</v>
      </c>
    </row>
    <row r="2" spans="1:2" x14ac:dyDescent="0.25">
      <c r="A2" s="20">
        <v>1</v>
      </c>
      <c r="B2" s="21">
        <v>3</v>
      </c>
    </row>
    <row r="3" spans="1:2" x14ac:dyDescent="0.25">
      <c r="A3" s="20">
        <v>2</v>
      </c>
      <c r="B3" s="21">
        <v>5</v>
      </c>
    </row>
    <row r="4" spans="1:2" x14ac:dyDescent="0.25">
      <c r="A4" s="20">
        <v>3</v>
      </c>
      <c r="B4" s="21">
        <v>3</v>
      </c>
    </row>
    <row r="5" spans="1:2" x14ac:dyDescent="0.25">
      <c r="A5" s="20">
        <v>4</v>
      </c>
      <c r="B5" s="21">
        <v>4</v>
      </c>
    </row>
    <row r="6" spans="1:2" x14ac:dyDescent="0.25">
      <c r="A6" s="17" t="s">
        <v>34</v>
      </c>
      <c r="B6" s="18">
        <v>15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BF77-819B-4439-BEA0-ABA33A22BB73}">
  <sheetPr>
    <tabColor theme="2" tint="-0.89999084444715716"/>
  </sheetPr>
  <dimension ref="A1:B5"/>
  <sheetViews>
    <sheetView tabSelected="1" zoomScale="210" zoomScaleNormal="210" workbookViewId="0">
      <selection activeCell="B22" sqref="B22"/>
    </sheetView>
  </sheetViews>
  <sheetFormatPr defaultRowHeight="15" x14ac:dyDescent="0.25"/>
  <cols>
    <col min="1" max="1" width="18.42578125" style="2" bestFit="1" customWidth="1"/>
    <col min="2" max="2" width="17.7109375" style="2" bestFit="1" customWidth="1"/>
    <col min="3" max="16384" width="9.140625" style="2"/>
  </cols>
  <sheetData>
    <row r="1" spans="1:2" x14ac:dyDescent="0.25">
      <c r="A1" s="23" t="s">
        <v>32</v>
      </c>
      <c r="B1" s="19" t="s">
        <v>30</v>
      </c>
    </row>
    <row r="2" spans="1:2" x14ac:dyDescent="0.25">
      <c r="A2" s="20" t="s">
        <v>12</v>
      </c>
      <c r="B2" s="21">
        <v>5</v>
      </c>
    </row>
    <row r="3" spans="1:2" x14ac:dyDescent="0.25">
      <c r="A3" s="20" t="s">
        <v>13</v>
      </c>
      <c r="B3" s="21">
        <v>5</v>
      </c>
    </row>
    <row r="4" spans="1:2" x14ac:dyDescent="0.25">
      <c r="A4" s="20" t="s">
        <v>15</v>
      </c>
      <c r="B4" s="21">
        <v>5</v>
      </c>
    </row>
    <row r="5" spans="1:2" x14ac:dyDescent="0.25">
      <c r="A5" s="17" t="s">
        <v>33</v>
      </c>
      <c r="B5" s="18">
        <v>15</v>
      </c>
    </row>
  </sheetData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989210-1668-4017-B0FF-4699497036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BACKLOG</vt:lpstr>
      <vt:lpstr>Task | Status</vt:lpstr>
      <vt:lpstr>Task | Priority</vt:lpstr>
      <vt:lpstr>Task | Owner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Ribeiro</dc:creator>
  <cp:lastModifiedBy>Guilherme Ribeiro</cp:lastModifiedBy>
  <dcterms:created xsi:type="dcterms:W3CDTF">2025-11-03T18:39:56Z</dcterms:created>
  <dcterms:modified xsi:type="dcterms:W3CDTF">2025-11-08T09:43:55Z</dcterms:modified>
</cp:coreProperties>
</file>