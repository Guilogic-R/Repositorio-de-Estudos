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uilh\Downloads\"/>
    </mc:Choice>
  </mc:AlternateContent>
  <xr:revisionPtr revIDLastSave="0" documentId="13_ncr:1_{096C9FC7-4F65-46FD-BA75-70DEC9FA8321}" xr6:coauthVersionLast="47" xr6:coauthVersionMax="47" xr10:uidLastSave="{00000000-0000-0000-0000-000000000000}"/>
  <bookViews>
    <workbookView xWindow="-120" yWindow="-120" windowWidth="29040" windowHeight="1584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Plan">#N/A</definedName>
  </definedNames>
  <calcPr calcId="191029"/>
  <pivotCaches>
    <pivotCache cacheId="13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" i="3" l="1"/>
  <c r="Q3" i="3"/>
</calcChain>
</file>

<file path=xl/sharedStrings.xml><?xml version="1.0" encoding="utf-8"?>
<sst xmlns="http://schemas.openxmlformats.org/spreadsheetml/2006/main" count="2033" uniqueCount="328">
  <si>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</si>
  <si>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</si>
  <si>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</si>
  <si>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</si>
  <si>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</si>
  <si>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</si>
  <si>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</si>
  <si>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</si>
  <si>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</si>
  <si>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</si>
  <si>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</si>
  <si>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</si>
  <si>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</si>
  <si>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</si>
  <si>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</si>
  <si>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</si>
  <si>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</si>
  <si>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</si>
  <si>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</si>
  <si>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</si>
  <si>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</si>
  <si>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</si>
  <si>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</si>
  <si>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</si>
  <si>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</si>
  <si>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</si>
  <si>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</si>
  <si>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</si>
  <si>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</si>
  <si>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</si>
  <si>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</si>
  <si>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</si>
  <si>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</si>
  <si>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</si>
  <si>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</si>
  <si>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</si>
  <si>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</si>
  <si>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</si>
  <si>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</si>
  <si>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</si>
  <si>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</si>
  <si>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</si>
  <si>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</si>
  <si>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</si>
  <si>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</si>
  <si>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</si>
  <si>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</si>
  <si>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</si>
  <si>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</si>
  <si>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</si>
  <si>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</si>
  <si>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</si>
  <si>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</si>
  <si>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</si>
  <si>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</si>
  <si>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</si>
  <si>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</si>
  <si>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</si>
  <si>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</si>
  <si>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</si>
  <si>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</si>
  <si>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</si>
  <si>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</si>
  <si>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</si>
  <si>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</si>
  <si>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</si>
  <si>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</si>
  <si>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</si>
  <si>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</si>
  <si>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</si>
  <si>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</si>
  <si>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</si>
  <si>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</si>
  <si>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</si>
  <si>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</si>
  <si>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</si>
  <si>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</si>
  <si>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</si>
  <si>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</si>
  <si>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</si>
  <si>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</si>
  <si>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</si>
  <si>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</si>
  <si>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</si>
  <si>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</si>
  <si>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</si>
  <si>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</si>
  <si>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</si>
  <si>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</si>
  <si>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</si>
  <si>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</si>
  <si>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</si>
  <si>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</si>
  <si>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</si>
  <si>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</si>
  <si>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</si>
  <si>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</si>
  <si>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</si>
  <si>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</si>
  <si>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</si>
  <si>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</si>
  <si>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</si>
  <si>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</si>
  <si>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</si>
  <si>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</si>
  <si>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</si>
  <si>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</si>
  <si>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</si>
  <si>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</si>
  <si>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</si>
  <si>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</si>
  <si>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</si>
  <si>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</si>
  <si>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</si>
  <si>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</si>
  <si>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</si>
  <si>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</si>
  <si>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</si>
  <si>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</si>
  <si>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</si>
  <si>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</si>
  <si>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</si>
  <si>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</si>
  <si>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</si>
  <si>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</si>
  <si>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</si>
  <si>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</si>
  <si>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</si>
  <si>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</si>
  <si>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</si>
  <si>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</si>
  <si>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</si>
  <si>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</si>
  <si>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</si>
  <si>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</si>
  <si>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</si>
  <si>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</si>
  <si>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</si>
  <si>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</si>
  <si>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</si>
  <si>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</si>
  <si>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</si>
  <si>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</si>
  <si>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</si>
  <si>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</si>
  <si>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</si>
  <si>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</si>
  <si>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</si>
  <si>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</si>
  <si>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</si>
  <si>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</si>
  <si>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</si>
  <si>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</si>
  <si>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</si>
  <si>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</si>
  <si>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</si>
  <si>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</si>
  <si>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</si>
  <si>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</si>
  <si>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</si>
  <si>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</si>
  <si>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</si>
  <si>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</si>
  <si>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</si>
  <si>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</si>
  <si>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</si>
  <si>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</si>
  <si>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</si>
  <si>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</si>
  <si>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</si>
  <si>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</si>
  <si>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</si>
  <si>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</si>
  <si>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</si>
  <si>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</si>
  <si>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</si>
  <si>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</si>
  <si>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</si>
  <si>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</si>
  <si>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</si>
  <si>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</si>
  <si>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</si>
  <si>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</si>
  <si>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</si>
  <si>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</si>
  <si>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</si>
  <si>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</si>
  <si>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</si>
  <si>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</si>
  <si>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</si>
  <si>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</si>
  <si>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</si>
  <si>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</si>
  <si>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</si>
  <si>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</si>
  <si>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</si>
  <si>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</si>
  <si>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</si>
  <si>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</si>
  <si>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</si>
  <si>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</si>
  <si>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</si>
  <si>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</si>
  <si>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</si>
  <si>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</si>
  <si>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</si>
  <si>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</si>
  <si>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</si>
  <si>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</si>
  <si>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</si>
  <si>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</si>
  <si>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</si>
  <si>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</si>
  <si>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</si>
  <si>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</si>
  <si>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</si>
  <si>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</si>
  <si>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</si>
  <si>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</si>
  <si>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</si>
  <si>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</si>
  <si>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</si>
  <si>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</si>
  <si>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</si>
  <si>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</si>
  <si>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</si>
  <si>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</si>
  <si>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</si>
  <si>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</si>
  <si>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</si>
  <si>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</si>
  <si>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</si>
  <si>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</si>
  <si>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</si>
  <si>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</si>
  <si>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</si>
  <si>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</si>
  <si>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</si>
  <si>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</si>
  <si>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</si>
  <si>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</si>
  <si>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</si>
  <si>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</si>
  <si>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</si>
  <si>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</si>
  <si>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</si>
  <si>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</si>
  <si>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</si>
  <si>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</si>
  <si>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</si>
  <si>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</si>
  <si>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</si>
  <si>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</si>
  <si>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</si>
  <si>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</si>
  <si>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</si>
  <si>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</si>
  <si>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</si>
  <si>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</si>
  <si>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</si>
  <si>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</si>
  <si>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</si>
  <si>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</si>
  <si>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</si>
  <si>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</si>
  <si>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</si>
  <si>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</si>
  <si>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</si>
  <si>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</si>
  <si>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</si>
  <si>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</si>
  <si>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</si>
  <si>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</si>
  <si>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</si>
  <si>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</si>
  <si>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</si>
  <si>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</si>
  <si>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</si>
  <si>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</si>
  <si>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</si>
  <si>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</si>
  <si>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</si>
  <si>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</si>
  <si>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</si>
  <si>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</si>
  <si>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</si>
  <si>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</si>
  <si>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</si>
  <si>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</si>
  <si>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</si>
  <si>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</si>
  <si>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</si>
  <si>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</si>
  <si>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</si>
  <si>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</si>
  <si>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</si>
  <si>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</si>
  <si>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</si>
  <si>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</si>
  <si>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</si>
  <si>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</si>
  <si>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</si>
  <si>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</si>
  <si>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</si>
  <si>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</si>
  <si>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</si>
  <si>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</si>
  <si>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</si>
  <si>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</si>
  <si>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</si>
  <si>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</si>
  <si>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</si>
  <si>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</si>
  <si>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Total Geral</t>
  </si>
  <si>
    <t>Plans</t>
  </si>
  <si>
    <t>Plans / Qty of plans</t>
  </si>
  <si>
    <t>How many people have acess to Minecraft</t>
  </si>
  <si>
    <t>Count plans</t>
  </si>
  <si>
    <t>No / Yes</t>
  </si>
  <si>
    <t>Count Plans</t>
  </si>
  <si>
    <t>How many people renewal</t>
  </si>
  <si>
    <t>No/Yes</t>
  </si>
  <si>
    <t>Total</t>
  </si>
  <si>
    <t>Recived</t>
  </si>
  <si>
    <t>No Recived</t>
  </si>
  <si>
    <t>Total Acess</t>
  </si>
  <si>
    <t>How many people are recived cupons</t>
  </si>
  <si>
    <t>Analysis of Plans and Their Privileges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</si>
</sst>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5"/>
      <color rgb="FFD5D4D5"/>
      <name val="Segoe UI Semibold"/>
      <family val="2"/>
    </font>
    <font>
      <sz val="36"/>
      <color rgb="FFD5D4D5"/>
      <name val="Segoe UI Semibold"/>
      <family val="2"/>
    </font>
  </fonts>
  <fills count="1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0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107D10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Fill="0" applyAlignment="0" applyProtection="0"/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8" borderId="0" xfId="0" applyFill="1"/>
    <xf numFmtId="0" fontId="0" fillId="0" borderId="0" xfId="0" pivotButton="1" applyAlignment="1">
      <alignment horizontal="center"/>
    </xf>
    <xf numFmtId="0" fontId="3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left" indent="1"/>
    </xf>
    <xf numFmtId="0" fontId="0" fillId="0" borderId="0" xfId="0" applyNumberFormat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0" xfId="0" applyFont="1" applyFill="1"/>
    <xf numFmtId="0" fontId="3" fillId="0" borderId="0" xfId="0" applyFont="1" applyAlignment="1">
      <alignment horizontal="center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5" fillId="12" borderId="0" xfId="3" applyFont="1" applyFill="1" applyBorder="1" applyAlignment="1">
      <alignment horizontal="center" vertical="center"/>
    </xf>
  </cellXfs>
  <cellStyles count="4">
    <cellStyle name="Moeda" xfId="2" builtinId="4"/>
    <cellStyle name="Normal" xfId="0" builtinId="0"/>
    <cellStyle name="Título 1" xfId="1" builtinId="16"/>
    <cellStyle name="Título 1 2" xfId="3" xr:uid="{77BAC6BF-A75C-4F3E-BEC6-76B6D854A648}"/>
  </cellStyles>
  <dxfs count="88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D5D4D5"/>
      </font>
      <border>
        <bottom style="thin">
          <color theme="1"/>
        </bottom>
        <vertical/>
        <horizontal/>
      </border>
    </dxf>
    <dxf>
      <font>
        <color rgb="FFD5D4D5"/>
      </font>
      <fill>
        <patternFill>
          <fgColor theme="2" tint="-0.89992980742820516"/>
          <bgColor theme="2" tint="-0.89996032593768116"/>
        </patternFill>
      </fill>
      <border>
        <left style="thin">
          <color theme="2" tint="-0.89996032593768116"/>
        </left>
        <right style="thin">
          <color theme="2" tint="-0.89996032593768116"/>
        </right>
        <top style="thin">
          <color theme="2" tint="-0.89996032593768116"/>
        </top>
        <bottom style="thin">
          <color theme="2" tint="-0.89996032593768116"/>
        </bottom>
        <vertical/>
        <horizontal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1 2" pivot="0" table="0" count="10" xr9:uid="{D9D510D5-D1CB-4A8D-8A9A-5C9691044186}">
      <tableStyleElement type="wholeTable" dxfId="177"/>
      <tableStyleElement type="headerRow" dxfId="176"/>
    </tableStyle>
  </tableStyles>
  <colors>
    <mruColors>
      <color rgb="FFD5D4D5"/>
      <color rgb="FF0F740F"/>
      <color rgb="FF000000"/>
      <color rgb="FF3B7D23"/>
      <color rgb="FF107D10"/>
      <color rgb="FF107810"/>
      <color rgb="FF22C55E"/>
      <color rgb="FFC0E6F5"/>
      <color rgb="FFE8E6E9"/>
      <color rgb="FF5BF6A8"/>
    </mruColors>
  </colors>
  <extLst>
    <ext xmlns:x14="http://schemas.microsoft.com/office/spreadsheetml/2009/9/main" uri="{46F421CA-312F-682f-3DD2-61675219B42D}">
      <x14:dxfs count="72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2065187536243"/>
              <bgColor theme="9" tint="-0.49998474074526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D5D4D5"/>
          </font>
          <fill>
            <patternFill patternType="solid">
              <fgColor rgb="FF3B7D23"/>
              <bgColor rgb="FF3B7D2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D5D4D5"/>
          </font>
          <fill>
            <patternFill patternType="solid">
              <fgColor rgb="FFFFFFFF"/>
              <bgColor theme="9" tint="-0.49998474074526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2065187536243"/>
              <bgColor theme="9" tint="-0.49998474074526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D5D4D5"/>
          </font>
          <fill>
            <patternFill patternType="solid">
              <fgColor rgb="FF3B7D23"/>
              <bgColor rgb="FF3B7D2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D5D4D5"/>
          </font>
          <fill>
            <patternFill patternType="solid">
              <fgColor rgb="FFFFFFFF"/>
              <bgColor theme="9" tint="-0.49998474074526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2065187536243"/>
              <bgColor theme="9" tint="-0.49998474074526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D5D4D5"/>
          </font>
          <fill>
            <patternFill patternType="solid">
              <fgColor rgb="FF3B7D23"/>
              <bgColor rgb="FF3B7D2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theme="9" tint="-0.49998474074526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2065187536243"/>
              <bgColor theme="9" tint="-0.49998474074526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D5D4D5"/>
          </font>
          <fill>
            <patternFill patternType="solid">
              <fgColor rgb="FF3B7D23"/>
              <bgColor rgb="FF3B7D2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0F740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5117038483843"/>
              <bgColor rgb="FF0F740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D5D4D5"/>
          </font>
          <fill>
            <patternFill patternType="solid">
              <fgColor rgb="FF3B7D23"/>
              <bgColor rgb="FF3B7D2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0F740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5117038483843"/>
              <bgColor rgb="FF0F740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D5D4D5"/>
          </font>
          <fill>
            <patternFill patternType="solid">
              <fgColor rgb="FF3B7D23"/>
              <bgColor rgb="FF3B7D2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5117038483843"/>
              <bgColor rgb="FF0F740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D5D4D5"/>
          </font>
          <fill>
            <patternFill patternType="solid">
              <fgColor rgb="FF3B7D23"/>
              <bgColor rgb="FF3B7D2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5117038483843"/>
              <bgColor rgb="FF0F740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D5D4D5"/>
          </font>
          <fill>
            <patternFill patternType="solid">
              <fgColor rgb="FF3B7D23"/>
              <bgColor rgb="FF3B7D2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5117038483843"/>
              <bgColor rgb="FF0F740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D5D4D5"/>
          </font>
          <fill>
            <patternFill patternType="solid">
              <fgColor rgb="FF3B7D23"/>
              <bgColor rgb="FF3B7D2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[D001_Dashboard_Excel.xlsx]C̳álculos!Plans / Qty of plans	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3000" b="1" i="0" u="none" strike="noStrike" kern="1200" spc="0" baseline="0">
                <a:solidFill>
                  <a:srgbClr val="D5D4D5"/>
                </a:solidFill>
                <a:latin typeface="+mn-lt"/>
                <a:ea typeface="+mn-ea"/>
                <a:cs typeface="+mn-cs"/>
              </a:defRPr>
            </a:pPr>
            <a:r>
              <a:rPr lang="en-US" sz="3000" b="1" i="0" baseline="0">
                <a:solidFill>
                  <a:srgbClr val="D5D4D5"/>
                </a:solidFill>
              </a:rPr>
              <a:t>Account count per plan</a:t>
            </a:r>
          </a:p>
        </c:rich>
      </c:tx>
      <c:layout>
        <c:manualLayout>
          <c:xMode val="edge"/>
          <c:yMode val="edge"/>
          <c:x val="0.34596754716005329"/>
          <c:y val="5.6982807766069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3000" b="1" i="0" u="none" strike="noStrike" kern="1200" spc="0" baseline="0">
              <a:solidFill>
                <a:srgbClr val="D5D4D5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rgbClr val="D5D4D5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7517273116615E-2"/>
          <c:y val="0.17632121619901439"/>
          <c:w val="0.90540341078054898"/>
          <c:h val="0.750636744113816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rgbClr val="D5D4D5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C̳álculos!$A$3:$A$6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C̳álculos!$B$3:$B$6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0-4C25-90E3-ED4A40498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9594175"/>
        <c:axId val="249592255"/>
      </c:barChart>
      <c:catAx>
        <c:axId val="24959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D5D4D5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9592255"/>
        <c:crosses val="autoZero"/>
        <c:auto val="1"/>
        <c:lblAlgn val="ctr"/>
        <c:lblOffset val="100"/>
        <c:noMultiLvlLbl val="0"/>
      </c:catAx>
      <c:valAx>
        <c:axId val="2495922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4959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[D001_Dashboard_Excel.xlsx]C̳álculos!How many people renewal			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3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sz="3000" b="1" i="0" u="none" strike="noStrike" kern="1200" baseline="0">
                <a:solidFill>
                  <a:srgbClr val="D5D4D5"/>
                </a:solidFill>
              </a:rPr>
              <a:t>Account distribution by auto-renewal status</a:t>
            </a:r>
          </a:p>
        </c:rich>
      </c:tx>
      <c:layout>
        <c:manualLayout>
          <c:xMode val="edge"/>
          <c:yMode val="edge"/>
          <c:x val="0.22433335371458696"/>
          <c:y val="4.65793304221251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3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rgbClr val="D5D4D5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rgbClr val="D5D4D5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658899954981343E-2"/>
          <c:y val="0.17730747630345334"/>
          <c:w val="0.83797250837510562"/>
          <c:h val="0.762643648377403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C̳álculos!$K$2:$K$3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rgbClr val="D5D4D5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C̳álculos!$J$4:$J$7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C̳álculos!$K$4:$K$7</c:f>
              <c:numCache>
                <c:formatCode>General</c:formatCode>
                <c:ptCount val="3"/>
                <c:pt idx="0">
                  <c:v>50</c:v>
                </c:pt>
                <c:pt idx="1">
                  <c:v>47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E-4660-A85C-7CF8A46CF3A5}"/>
            </c:ext>
          </c:extLst>
        </c:ser>
        <c:ser>
          <c:idx val="1"/>
          <c:order val="1"/>
          <c:tx>
            <c:strRef>
              <c:f>C̳álculos!$L$2:$L$3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rgbClr val="D5D4D5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C̳álculos!$J$4:$J$7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C̳álculos!$L$4:$L$7</c:f>
              <c:numCache>
                <c:formatCode>General</c:formatCode>
                <c:ptCount val="3"/>
                <c:pt idx="0">
                  <c:v>51</c:v>
                </c:pt>
                <c:pt idx="1">
                  <c:v>49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6E-4660-A85C-7CF8A46CF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4945343"/>
        <c:axId val="504949183"/>
      </c:barChart>
      <c:catAx>
        <c:axId val="50494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D5D4D5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4949183"/>
        <c:crosses val="autoZero"/>
        <c:auto val="1"/>
        <c:lblAlgn val="ctr"/>
        <c:lblOffset val="100"/>
        <c:noMultiLvlLbl val="0"/>
      </c:catAx>
      <c:valAx>
        <c:axId val="5049491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494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288767417931502"/>
          <c:y val="4.7297275613474084E-2"/>
          <c:w val="5.6025677878945974E-2"/>
          <c:h val="0.145580121262134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rgbClr val="D5D4D5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130968</xdr:rowOff>
    </xdr:from>
    <xdr:to>
      <xdr:col>32</xdr:col>
      <xdr:colOff>0</xdr:colOff>
      <xdr:row>47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49796AA-3A54-4A4A-A5E7-C95745DD0C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0</xdr:colOff>
      <xdr:row>20</xdr:row>
      <xdr:rowOff>23813</xdr:rowOff>
    </xdr:from>
    <xdr:to>
      <xdr:col>70</xdr:col>
      <xdr:colOff>190501</xdr:colOff>
      <xdr:row>46</xdr:row>
      <xdr:rowOff>107156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C95A09A-E876-4030-BF55-BB48645C93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4</xdr:col>
      <xdr:colOff>219544</xdr:colOff>
      <xdr:row>3</xdr:row>
      <xdr:rowOff>102393</xdr:rowOff>
    </xdr:from>
    <xdr:ext cx="7084219" cy="571501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4A5AFF85-1AF7-E3ED-8E64-D98AF0DD8884}"/>
            </a:ext>
          </a:extLst>
        </xdr:cNvPr>
        <xdr:cNvSpPr txBox="1"/>
      </xdr:nvSpPr>
      <xdr:spPr>
        <a:xfrm>
          <a:off x="1553044" y="1328737"/>
          <a:ext cx="7084219" cy="5715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2800" b="1" i="0" u="none" strike="noStrike">
              <a:solidFill>
                <a:srgbClr val="D5D4D5"/>
              </a:solidFill>
              <a:effectLst/>
              <a:latin typeface="+mn-lt"/>
              <a:ea typeface="+mn-ea"/>
              <a:cs typeface="+mn-cs"/>
            </a:rPr>
            <a:t>How many people have acess to Minecraft?</a:t>
          </a:r>
          <a:r>
            <a:rPr lang="pt-BR" sz="2800">
              <a:solidFill>
                <a:srgbClr val="D5D4D5"/>
              </a:solidFill>
            </a:rPr>
            <a:t> </a:t>
          </a:r>
        </a:p>
      </xdr:txBody>
    </xdr:sp>
    <xdr:clientData/>
  </xdr:oneCellAnchor>
  <xdr:twoCellAnchor>
    <xdr:from>
      <xdr:col>10</xdr:col>
      <xdr:colOff>61191</xdr:colOff>
      <xdr:row>7</xdr:row>
      <xdr:rowOff>70247</xdr:rowOff>
    </xdr:from>
    <xdr:to>
      <xdr:col>20</xdr:col>
      <xdr:colOff>127866</xdr:colOff>
      <xdr:row>13</xdr:row>
      <xdr:rowOff>146447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F21462E6-560C-4B49-BC0F-B668F4C2BA9B}"/>
            </a:ext>
          </a:extLst>
        </xdr:cNvPr>
        <xdr:cNvGrpSpPr/>
      </xdr:nvGrpSpPr>
      <xdr:grpSpPr>
        <a:xfrm>
          <a:off x="3394941" y="2058591"/>
          <a:ext cx="3400425" cy="1219200"/>
          <a:chOff x="4353885" y="1762125"/>
          <a:chExt cx="3057525" cy="1219200"/>
        </a:xfrm>
        <a:solidFill>
          <a:srgbClr val="3B7D23"/>
        </a:solidFill>
      </xdr:grpSpPr>
      <xdr:sp macro="" textlink="">
        <xdr:nvSpPr>
          <xdr:cNvPr id="8" name="Retângulo: Cantos Diagonais Recortados 7">
            <a:extLst>
              <a:ext uri="{FF2B5EF4-FFF2-40B4-BE49-F238E27FC236}">
                <a16:creationId xmlns:a16="http://schemas.microsoft.com/office/drawing/2014/main" id="{F6AAAFD2-65DB-1896-D93D-6C9808C1EC36}"/>
              </a:ext>
            </a:extLst>
          </xdr:cNvPr>
          <xdr:cNvSpPr/>
        </xdr:nvSpPr>
        <xdr:spPr>
          <a:xfrm>
            <a:off x="4353885" y="1762125"/>
            <a:ext cx="3057525" cy="1219200"/>
          </a:xfrm>
          <a:prstGeom prst="snip2Diag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4000" b="1" i="0" u="none" strike="noStrike">
                <a:solidFill>
                  <a:srgbClr val="D5D4D5"/>
                </a:solidFill>
                <a:effectLst/>
                <a:latin typeface="+mn-lt"/>
                <a:ea typeface="+mn-ea"/>
                <a:cs typeface="+mn-cs"/>
              </a:rPr>
              <a:t>194</a:t>
            </a:r>
            <a:r>
              <a:rPr lang="pt-BR" sz="4000">
                <a:solidFill>
                  <a:srgbClr val="D5D4D5"/>
                </a:solidFill>
              </a:rPr>
              <a:t> </a:t>
            </a:r>
          </a:p>
        </xdr:txBody>
      </xdr:sp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4D102A8C-F712-0FE6-3F0C-F01A11A4B5E3}"/>
              </a:ext>
            </a:extLst>
          </xdr:cNvPr>
          <xdr:cNvSpPr txBox="1"/>
        </xdr:nvSpPr>
        <xdr:spPr>
          <a:xfrm>
            <a:off x="4705350" y="1885950"/>
            <a:ext cx="2400300" cy="352425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3200" b="1">
                <a:solidFill>
                  <a:srgbClr val="D5D4D5"/>
                </a:solidFill>
              </a:rPr>
              <a:t>With Acess</a:t>
            </a:r>
          </a:p>
        </xdr:txBody>
      </xdr:sp>
    </xdr:grpSp>
    <xdr:clientData/>
  </xdr:twoCellAnchor>
  <xdr:twoCellAnchor>
    <xdr:from>
      <xdr:col>12</xdr:col>
      <xdr:colOff>289791</xdr:colOff>
      <xdr:row>15</xdr:row>
      <xdr:rowOff>60722</xdr:rowOff>
    </xdr:from>
    <xdr:to>
      <xdr:col>17</xdr:col>
      <xdr:colOff>232641</xdr:colOff>
      <xdr:row>18</xdr:row>
      <xdr:rowOff>165497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EFA402FD-7037-4178-A5AE-07B78BDF0D48}"/>
            </a:ext>
          </a:extLst>
        </xdr:cNvPr>
        <xdr:cNvGrpSpPr/>
      </xdr:nvGrpSpPr>
      <xdr:grpSpPr>
        <a:xfrm>
          <a:off x="4290291" y="3573066"/>
          <a:ext cx="1609725" cy="676275"/>
          <a:chOff x="4428712" y="1821926"/>
          <a:chExt cx="3057525" cy="1219200"/>
        </a:xfrm>
        <a:solidFill>
          <a:srgbClr val="3B7D23"/>
        </a:solidFill>
      </xdr:grpSpPr>
      <xdr:sp macro="" textlink="">
        <xdr:nvSpPr>
          <xdr:cNvPr id="11" name="Retângulo: Cantos Diagonais Recortados 10">
            <a:extLst>
              <a:ext uri="{FF2B5EF4-FFF2-40B4-BE49-F238E27FC236}">
                <a16:creationId xmlns:a16="http://schemas.microsoft.com/office/drawing/2014/main" id="{463236B8-76CF-4C1D-3A44-6FD2A40B7DB4}"/>
              </a:ext>
            </a:extLst>
          </xdr:cNvPr>
          <xdr:cNvSpPr>
            <a:spLocks/>
          </xdr:cNvSpPr>
        </xdr:nvSpPr>
        <xdr:spPr>
          <a:xfrm>
            <a:off x="4428712" y="1821926"/>
            <a:ext cx="3057525" cy="1219200"/>
          </a:xfrm>
          <a:prstGeom prst="snip2Diag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800" b="1" i="0" u="none" strike="noStrike">
                <a:solidFill>
                  <a:srgbClr val="D5D4D5"/>
                </a:solidFill>
                <a:effectLst/>
                <a:latin typeface="+mn-lt"/>
                <a:ea typeface="+mn-ea"/>
                <a:cs typeface="+mn-cs"/>
              </a:rPr>
              <a:t>101</a:t>
            </a:r>
            <a:r>
              <a:rPr lang="pt-BR" sz="2800">
                <a:solidFill>
                  <a:srgbClr val="D5D4D5"/>
                </a:solidFill>
              </a:rPr>
              <a:t> </a:t>
            </a:r>
          </a:p>
        </xdr:txBody>
      </xdr:sp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F4E071C0-EF27-2804-4DD5-C2B3E501E5BC}"/>
              </a:ext>
            </a:extLst>
          </xdr:cNvPr>
          <xdr:cNvSpPr txBox="1"/>
        </xdr:nvSpPr>
        <xdr:spPr>
          <a:xfrm>
            <a:off x="4624569" y="1821926"/>
            <a:ext cx="2648429" cy="488819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600" b="1" baseline="0">
                <a:solidFill>
                  <a:srgbClr val="D5D4D5"/>
                </a:solidFill>
              </a:rPr>
              <a:t>Whitout a</a:t>
            </a:r>
            <a:r>
              <a:rPr lang="pt-BR" sz="1600" b="1">
                <a:solidFill>
                  <a:srgbClr val="D5D4D5"/>
                </a:solidFill>
              </a:rPr>
              <a:t>cess</a:t>
            </a:r>
          </a:p>
        </xdr:txBody>
      </xdr:sp>
    </xdr:grpSp>
    <xdr:clientData/>
  </xdr:twoCellAnchor>
  <xdr:twoCellAnchor>
    <xdr:from>
      <xdr:col>44</xdr:col>
      <xdr:colOff>154782</xdr:colOff>
      <xdr:row>2</xdr:row>
      <xdr:rowOff>88106</xdr:rowOff>
    </xdr:from>
    <xdr:to>
      <xdr:col>64</xdr:col>
      <xdr:colOff>154782</xdr:colOff>
      <xdr:row>6</xdr:row>
      <xdr:rowOff>102394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116CA17C-067C-F3D6-1A55-B25B3EAC1D84}"/>
            </a:ext>
          </a:extLst>
        </xdr:cNvPr>
        <xdr:cNvSpPr txBox="1"/>
      </xdr:nvSpPr>
      <xdr:spPr>
        <a:xfrm>
          <a:off x="14823282" y="1123950"/>
          <a:ext cx="6667500" cy="7762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800" b="1" i="0" u="none" strike="noStrike">
              <a:solidFill>
                <a:srgbClr val="D5D4D5"/>
              </a:solidFill>
              <a:effectLst/>
              <a:latin typeface="+mn-lt"/>
              <a:ea typeface="+mn-ea"/>
              <a:cs typeface="+mn-cs"/>
            </a:rPr>
            <a:t>How many people are received coupons?</a:t>
          </a:r>
          <a:r>
            <a:rPr lang="pt-BR" sz="4400">
              <a:solidFill>
                <a:srgbClr val="D5D4D5"/>
              </a:solidFill>
            </a:rPr>
            <a:t> </a:t>
          </a:r>
        </a:p>
      </xdr:txBody>
    </xdr:sp>
    <xdr:clientData/>
  </xdr:twoCellAnchor>
  <xdr:twoCellAnchor>
    <xdr:from>
      <xdr:col>51</xdr:col>
      <xdr:colOff>57150</xdr:colOff>
      <xdr:row>15</xdr:row>
      <xdr:rowOff>60722</xdr:rowOff>
    </xdr:from>
    <xdr:to>
      <xdr:col>56</xdr:col>
      <xdr:colOff>0</xdr:colOff>
      <xdr:row>18</xdr:row>
      <xdr:rowOff>165497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41C8A120-60DD-4837-BFDB-37A7F6485462}"/>
            </a:ext>
          </a:extLst>
        </xdr:cNvPr>
        <xdr:cNvGrpSpPr/>
      </xdr:nvGrpSpPr>
      <xdr:grpSpPr>
        <a:xfrm>
          <a:off x="17059275" y="3573066"/>
          <a:ext cx="1609725" cy="676275"/>
          <a:chOff x="4428712" y="1821926"/>
          <a:chExt cx="3057525" cy="1219200"/>
        </a:xfrm>
        <a:solidFill>
          <a:srgbClr val="3B7D23"/>
        </a:solidFill>
      </xdr:grpSpPr>
      <xdr:sp macro="" textlink="">
        <xdr:nvSpPr>
          <xdr:cNvPr id="19" name="Retângulo: Cantos Diagonais Recortados 18">
            <a:extLst>
              <a:ext uri="{FF2B5EF4-FFF2-40B4-BE49-F238E27FC236}">
                <a16:creationId xmlns:a16="http://schemas.microsoft.com/office/drawing/2014/main" id="{5368C66A-8594-AC2D-154E-C55FB6AE830D}"/>
              </a:ext>
            </a:extLst>
          </xdr:cNvPr>
          <xdr:cNvSpPr>
            <a:spLocks/>
          </xdr:cNvSpPr>
        </xdr:nvSpPr>
        <xdr:spPr>
          <a:xfrm>
            <a:off x="4428712" y="1821926"/>
            <a:ext cx="3057525" cy="1219200"/>
          </a:xfrm>
          <a:prstGeom prst="snip2Diag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800" b="1" i="0" u="none" strike="noStrike">
                <a:solidFill>
                  <a:srgbClr val="D5D4D5"/>
                </a:solidFill>
                <a:effectLst/>
                <a:latin typeface="+mn-lt"/>
                <a:ea typeface="+mn-ea"/>
                <a:cs typeface="+mn-cs"/>
              </a:rPr>
              <a:t>51</a:t>
            </a:r>
            <a:endParaRPr lang="pt-BR" sz="2800">
              <a:solidFill>
                <a:srgbClr val="D5D4D5"/>
              </a:solidFill>
            </a:endParaRPr>
          </a:p>
        </xdr:txBody>
      </xdr:sp>
      <xdr:sp macro="" textlink="">
        <xdr:nvSpPr>
          <xdr:cNvPr id="20" name="CaixaDeTexto 19">
            <a:extLst>
              <a:ext uri="{FF2B5EF4-FFF2-40B4-BE49-F238E27FC236}">
                <a16:creationId xmlns:a16="http://schemas.microsoft.com/office/drawing/2014/main" id="{4FF6B08A-F928-6B66-C2A3-FE63BF6ED07B}"/>
              </a:ext>
            </a:extLst>
          </xdr:cNvPr>
          <xdr:cNvSpPr txBox="1"/>
        </xdr:nvSpPr>
        <xdr:spPr>
          <a:xfrm>
            <a:off x="4759625" y="1958320"/>
            <a:ext cx="2400299" cy="352425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600" b="1">
                <a:solidFill>
                  <a:srgbClr val="D5D4D5"/>
                </a:solidFill>
              </a:rPr>
              <a:t>N</a:t>
            </a:r>
            <a:r>
              <a:rPr lang="pt-BR" sz="1600" b="1" baseline="0">
                <a:solidFill>
                  <a:srgbClr val="D5D4D5"/>
                </a:solidFill>
              </a:rPr>
              <a:t>o recieved</a:t>
            </a:r>
            <a:endParaRPr lang="pt-BR" sz="1600" b="1">
              <a:solidFill>
                <a:srgbClr val="D5D4D5"/>
              </a:solidFill>
            </a:endParaRPr>
          </a:p>
        </xdr:txBody>
      </xdr:sp>
    </xdr:grpSp>
    <xdr:clientData/>
  </xdr:twoCellAnchor>
  <xdr:twoCellAnchor>
    <xdr:from>
      <xdr:col>10</xdr:col>
      <xdr:colOff>77860</xdr:colOff>
      <xdr:row>7</xdr:row>
      <xdr:rowOff>112811</xdr:rowOff>
    </xdr:from>
    <xdr:to>
      <xdr:col>20</xdr:col>
      <xdr:colOff>144535</xdr:colOff>
      <xdr:row>13</xdr:row>
      <xdr:rowOff>189011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4427D99F-26EC-DC2B-B8A2-BD9AB5A5C438}"/>
            </a:ext>
          </a:extLst>
        </xdr:cNvPr>
        <xdr:cNvGrpSpPr/>
      </xdr:nvGrpSpPr>
      <xdr:grpSpPr>
        <a:xfrm>
          <a:off x="3411610" y="2101155"/>
          <a:ext cx="3400425" cy="1219200"/>
          <a:chOff x="4353885" y="1762125"/>
          <a:chExt cx="3057525" cy="1219200"/>
        </a:xfrm>
        <a:solidFill>
          <a:srgbClr val="3B7D23"/>
        </a:solidFill>
      </xdr:grpSpPr>
      <xdr:sp macro="" textlink="">
        <xdr:nvSpPr>
          <xdr:cNvPr id="27" name="Retângulo: Cantos Diagonais Recortados 26">
            <a:extLst>
              <a:ext uri="{FF2B5EF4-FFF2-40B4-BE49-F238E27FC236}">
                <a16:creationId xmlns:a16="http://schemas.microsoft.com/office/drawing/2014/main" id="{412F4B68-C467-D5A4-F3C6-5408EF590E16}"/>
              </a:ext>
            </a:extLst>
          </xdr:cNvPr>
          <xdr:cNvSpPr/>
        </xdr:nvSpPr>
        <xdr:spPr>
          <a:xfrm>
            <a:off x="4353885" y="1762125"/>
            <a:ext cx="3057525" cy="1219200"/>
          </a:xfrm>
          <a:prstGeom prst="snip2Diag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4000" b="1" i="0" u="none" strike="noStrike">
                <a:solidFill>
                  <a:srgbClr val="D5D4D5"/>
                </a:solidFill>
                <a:effectLst/>
                <a:latin typeface="+mn-lt"/>
                <a:ea typeface="+mn-ea"/>
                <a:cs typeface="+mn-cs"/>
              </a:rPr>
              <a:t>194</a:t>
            </a:r>
            <a:r>
              <a:rPr lang="pt-BR" sz="4000">
                <a:solidFill>
                  <a:srgbClr val="D5D4D5"/>
                </a:solidFill>
              </a:rPr>
              <a:t> </a:t>
            </a:r>
          </a:p>
        </xdr:txBody>
      </xdr:sp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id="{CBADFDBE-1930-05AA-8F56-AF1BBA12875A}"/>
              </a:ext>
            </a:extLst>
          </xdr:cNvPr>
          <xdr:cNvSpPr txBox="1"/>
        </xdr:nvSpPr>
        <xdr:spPr>
          <a:xfrm>
            <a:off x="4705350" y="1885950"/>
            <a:ext cx="2400300" cy="352425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3200" b="1">
                <a:solidFill>
                  <a:srgbClr val="D5D4D5"/>
                </a:solidFill>
              </a:rPr>
              <a:t>With Acess</a:t>
            </a:r>
          </a:p>
        </xdr:txBody>
      </xdr:sp>
    </xdr:grpSp>
    <xdr:clientData/>
  </xdr:twoCellAnchor>
  <xdr:twoCellAnchor>
    <xdr:from>
      <xdr:col>48</xdr:col>
      <xdr:colOff>285750</xdr:colOff>
      <xdr:row>7</xdr:row>
      <xdr:rowOff>150911</xdr:rowOff>
    </xdr:from>
    <xdr:to>
      <xdr:col>58</xdr:col>
      <xdr:colOff>19050</xdr:colOff>
      <xdr:row>13</xdr:row>
      <xdr:rowOff>189011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F62665DB-DEFC-D62E-D4B7-2E0DF9D84246}"/>
            </a:ext>
          </a:extLst>
        </xdr:cNvPr>
        <xdr:cNvGrpSpPr/>
      </xdr:nvGrpSpPr>
      <xdr:grpSpPr>
        <a:xfrm>
          <a:off x="16287750" y="2139255"/>
          <a:ext cx="3067050" cy="1181100"/>
          <a:chOff x="16783050" y="1847850"/>
          <a:chExt cx="3067050" cy="1181100"/>
        </a:xfrm>
        <a:solidFill>
          <a:srgbClr val="3B7D23"/>
        </a:solidFill>
      </xdr:grpSpPr>
      <xdr:sp macro="" textlink="">
        <xdr:nvSpPr>
          <xdr:cNvPr id="30" name="Retângulo: Cantos Diagonais Recortados 29">
            <a:extLst>
              <a:ext uri="{FF2B5EF4-FFF2-40B4-BE49-F238E27FC236}">
                <a16:creationId xmlns:a16="http://schemas.microsoft.com/office/drawing/2014/main" id="{B7D7C7BF-D062-C04F-488E-D7E1F1FF3359}"/>
              </a:ext>
            </a:extLst>
          </xdr:cNvPr>
          <xdr:cNvSpPr/>
        </xdr:nvSpPr>
        <xdr:spPr>
          <a:xfrm>
            <a:off x="16783050" y="1847850"/>
            <a:ext cx="3067050" cy="1181100"/>
          </a:xfrm>
          <a:prstGeom prst="snip2Diag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4000" b="1" i="0" u="none" strike="noStrike">
                <a:solidFill>
                  <a:srgbClr val="D5D4D5"/>
                </a:solidFill>
                <a:effectLst/>
                <a:latin typeface="+mn-lt"/>
                <a:ea typeface="+mn-ea"/>
                <a:cs typeface="+mn-cs"/>
              </a:rPr>
              <a:t>244</a:t>
            </a:r>
            <a:r>
              <a:rPr lang="pt-BR" sz="4000" b="1">
                <a:solidFill>
                  <a:srgbClr val="D5D4D5"/>
                </a:solidFill>
              </a:rPr>
              <a:t> </a:t>
            </a:r>
          </a:p>
        </xdr:txBody>
      </xdr:sp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4A7E3B17-B374-792B-2CDB-F35C0143B977}"/>
              </a:ext>
            </a:extLst>
          </xdr:cNvPr>
          <xdr:cNvSpPr txBox="1"/>
        </xdr:nvSpPr>
        <xdr:spPr>
          <a:xfrm>
            <a:off x="17049749" y="1933575"/>
            <a:ext cx="2543175" cy="371475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3200" b="1" baseline="0">
                <a:solidFill>
                  <a:srgbClr val="D5D4D5"/>
                </a:solidFill>
              </a:rPr>
              <a:t>Recived</a:t>
            </a:r>
            <a:endParaRPr lang="pt-BR" sz="3200" b="1">
              <a:solidFill>
                <a:srgbClr val="D5D4D5"/>
              </a:solidFill>
            </a:endParaRPr>
          </a:p>
        </xdr:txBody>
      </xdr:sp>
    </xdr:grpSp>
    <xdr:clientData/>
  </xdr:twoCellAnchor>
  <xdr:twoCellAnchor editAs="oneCell">
    <xdr:from>
      <xdr:col>26</xdr:col>
      <xdr:colOff>81728</xdr:colOff>
      <xdr:row>7</xdr:row>
      <xdr:rowOff>47625</xdr:rowOff>
    </xdr:from>
    <xdr:to>
      <xdr:col>39</xdr:col>
      <xdr:colOff>0</xdr:colOff>
      <xdr:row>14</xdr:row>
      <xdr:rowOff>22622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A3302002-BBAF-4524-BBEA-6EF09F623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49478" y="2035969"/>
          <a:ext cx="4252147" cy="1308497"/>
        </a:xfrm>
        <a:prstGeom prst="rect">
          <a:avLst/>
        </a:prstGeom>
      </xdr:spPr>
    </xdr:pic>
    <xdr:clientData/>
  </xdr:twoCellAnchor>
  <xdr:twoCellAnchor editAs="oneCell">
    <xdr:from>
      <xdr:col>30</xdr:col>
      <xdr:colOff>219075</xdr:colOff>
      <xdr:row>15</xdr:row>
      <xdr:rowOff>38101</xdr:rowOff>
    </xdr:from>
    <xdr:to>
      <xdr:col>36</xdr:col>
      <xdr:colOff>47625</xdr:colOff>
      <xdr:row>21</xdr:row>
      <xdr:rowOff>133351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3" name="Plan">
              <a:extLst>
                <a:ext uri="{FF2B5EF4-FFF2-40B4-BE49-F238E27FC236}">
                  <a16:creationId xmlns:a16="http://schemas.microsoft.com/office/drawing/2014/main" id="{8B0C34A6-0E22-49B9-BD48-44DF7BC8AE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20325" y="3550445"/>
              <a:ext cx="1828800" cy="1238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ilherme Ribeiro" refreshedDate="45970.760421643521" createdVersion="8" refreshedVersion="8" minRefreshableVersion="3" recordCount="295" xr:uid="{5E5C23B0-2EAD-4CE9-A727-284C3B93B058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/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8442388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s v="Monthly"/>
    <x v="0"/>
    <x v="0"/>
    <x v="0"/>
    <n v="20"/>
    <x v="0"/>
    <x v="0"/>
  </r>
  <r>
    <n v="3232"/>
    <x v="1"/>
    <x v="1"/>
    <d v="2024-01-15T00:00:00"/>
    <x v="1"/>
    <n v="5"/>
    <s v="Annual"/>
    <x v="1"/>
    <x v="1"/>
    <x v="1"/>
    <n v="0"/>
    <x v="1"/>
    <x v="1"/>
  </r>
  <r>
    <n v="3233"/>
    <x v="2"/>
    <x v="2"/>
    <d v="2024-02-10T00:00:00"/>
    <x v="0"/>
    <n v="10"/>
    <s v="Quarterly"/>
    <x v="1"/>
    <x v="1"/>
    <x v="0"/>
    <n v="20"/>
    <x v="2"/>
    <x v="2"/>
  </r>
  <r>
    <n v="3234"/>
    <x v="3"/>
    <x v="0"/>
    <d v="2024-02-20T00:00:00"/>
    <x v="1"/>
    <n v="15"/>
    <s v="Monthly"/>
    <x v="0"/>
    <x v="0"/>
    <x v="0"/>
    <n v="20"/>
    <x v="3"/>
    <x v="3"/>
  </r>
  <r>
    <n v="3235"/>
    <x v="4"/>
    <x v="1"/>
    <d v="2024-03-05T00:00:00"/>
    <x v="0"/>
    <n v="5"/>
    <s v="Monthly"/>
    <x v="1"/>
    <x v="1"/>
    <x v="1"/>
    <n v="0"/>
    <x v="4"/>
    <x v="4"/>
  </r>
  <r>
    <n v="3236"/>
    <x v="5"/>
    <x v="2"/>
    <d v="2024-03-02T00:00:00"/>
    <x v="1"/>
    <n v="10"/>
    <s v="Monthly"/>
    <x v="1"/>
    <x v="1"/>
    <x v="0"/>
    <n v="20"/>
    <x v="5"/>
    <x v="5"/>
  </r>
  <r>
    <n v="3237"/>
    <x v="6"/>
    <x v="0"/>
    <d v="2024-03-03T00:00:00"/>
    <x v="0"/>
    <n v="15"/>
    <s v="Quarterly"/>
    <x v="0"/>
    <x v="0"/>
    <x v="0"/>
    <n v="20"/>
    <x v="2"/>
    <x v="6"/>
  </r>
  <r>
    <n v="3238"/>
    <x v="7"/>
    <x v="1"/>
    <d v="2024-03-04T00:00:00"/>
    <x v="0"/>
    <n v="5"/>
    <s v="Annual"/>
    <x v="1"/>
    <x v="1"/>
    <x v="1"/>
    <n v="0"/>
    <x v="1"/>
    <x v="1"/>
  </r>
  <r>
    <n v="3239"/>
    <x v="8"/>
    <x v="0"/>
    <d v="2024-03-05T00:00:00"/>
    <x v="1"/>
    <n v="15"/>
    <s v="Monthly"/>
    <x v="0"/>
    <x v="0"/>
    <x v="0"/>
    <n v="20"/>
    <x v="0"/>
    <x v="0"/>
  </r>
  <r>
    <n v="3240"/>
    <x v="9"/>
    <x v="2"/>
    <d v="2024-03-06T00:00:00"/>
    <x v="0"/>
    <n v="10"/>
    <s v="Quarterly"/>
    <x v="1"/>
    <x v="1"/>
    <x v="0"/>
    <n v="20"/>
    <x v="6"/>
    <x v="7"/>
  </r>
  <r>
    <n v="3241"/>
    <x v="10"/>
    <x v="1"/>
    <d v="2024-03-07T00:00:00"/>
    <x v="1"/>
    <n v="5"/>
    <s v="Monthly"/>
    <x v="1"/>
    <x v="1"/>
    <x v="1"/>
    <n v="0"/>
    <x v="4"/>
    <x v="4"/>
  </r>
  <r>
    <n v="3242"/>
    <x v="11"/>
    <x v="0"/>
    <d v="2024-03-08T00:00:00"/>
    <x v="0"/>
    <n v="15"/>
    <s v="Annual"/>
    <x v="0"/>
    <x v="0"/>
    <x v="0"/>
    <n v="20"/>
    <x v="7"/>
    <x v="8"/>
  </r>
  <r>
    <n v="3243"/>
    <x v="12"/>
    <x v="2"/>
    <d v="2024-03-09T00:00:00"/>
    <x v="1"/>
    <n v="10"/>
    <s v="Monthly"/>
    <x v="1"/>
    <x v="1"/>
    <x v="0"/>
    <n v="20"/>
    <x v="2"/>
    <x v="2"/>
  </r>
  <r>
    <n v="3244"/>
    <x v="13"/>
    <x v="1"/>
    <d v="2024-03-10T00:00:00"/>
    <x v="0"/>
    <n v="5"/>
    <s v="Quarterly"/>
    <x v="1"/>
    <x v="1"/>
    <x v="1"/>
    <n v="0"/>
    <x v="1"/>
    <x v="1"/>
  </r>
  <r>
    <n v="3245"/>
    <x v="14"/>
    <x v="0"/>
    <d v="2024-03-11T00:00:00"/>
    <x v="1"/>
    <n v="15"/>
    <s v="Monthly"/>
    <x v="0"/>
    <x v="0"/>
    <x v="0"/>
    <n v="20"/>
    <x v="8"/>
    <x v="9"/>
  </r>
  <r>
    <n v="3246"/>
    <x v="15"/>
    <x v="2"/>
    <d v="2024-03-12T00:00:00"/>
    <x v="0"/>
    <n v="10"/>
    <s v="Annual"/>
    <x v="1"/>
    <x v="1"/>
    <x v="0"/>
    <n v="20"/>
    <x v="9"/>
    <x v="10"/>
  </r>
  <r>
    <n v="3247"/>
    <x v="16"/>
    <x v="1"/>
    <d v="2024-03-13T00:00:00"/>
    <x v="1"/>
    <n v="5"/>
    <s v="Monthly"/>
    <x v="1"/>
    <x v="1"/>
    <x v="1"/>
    <n v="0"/>
    <x v="5"/>
    <x v="11"/>
  </r>
  <r>
    <n v="3248"/>
    <x v="17"/>
    <x v="0"/>
    <d v="2024-03-14T00:00:00"/>
    <x v="0"/>
    <n v="15"/>
    <s v="Quarterly"/>
    <x v="0"/>
    <x v="0"/>
    <x v="0"/>
    <n v="20"/>
    <x v="10"/>
    <x v="12"/>
  </r>
  <r>
    <n v="3249"/>
    <x v="18"/>
    <x v="2"/>
    <d v="2024-03-15T00:00:00"/>
    <x v="1"/>
    <n v="10"/>
    <s v="Monthly"/>
    <x v="1"/>
    <x v="1"/>
    <x v="0"/>
    <n v="20"/>
    <x v="0"/>
    <x v="13"/>
  </r>
  <r>
    <n v="3250"/>
    <x v="19"/>
    <x v="1"/>
    <d v="2024-03-16T00:00:00"/>
    <x v="0"/>
    <n v="5"/>
    <s v="Annual"/>
    <x v="1"/>
    <x v="1"/>
    <x v="1"/>
    <n v="0"/>
    <x v="1"/>
    <x v="1"/>
  </r>
  <r>
    <n v="3251"/>
    <x v="20"/>
    <x v="0"/>
    <d v="2024-03-17T00:00:00"/>
    <x v="1"/>
    <n v="15"/>
    <s v="Monthly"/>
    <x v="0"/>
    <x v="0"/>
    <x v="0"/>
    <n v="20"/>
    <x v="3"/>
    <x v="3"/>
  </r>
  <r>
    <n v="3252"/>
    <x v="21"/>
    <x v="2"/>
    <d v="2024-03-18T00:00:00"/>
    <x v="0"/>
    <n v="10"/>
    <s v="Quarterly"/>
    <x v="1"/>
    <x v="1"/>
    <x v="0"/>
    <n v="20"/>
    <x v="6"/>
    <x v="7"/>
  </r>
  <r>
    <n v="3253"/>
    <x v="22"/>
    <x v="1"/>
    <d v="2024-03-19T00:00:00"/>
    <x v="1"/>
    <n v="5"/>
    <s v="Monthly"/>
    <x v="1"/>
    <x v="1"/>
    <x v="1"/>
    <n v="0"/>
    <x v="4"/>
    <x v="4"/>
  </r>
  <r>
    <n v="3254"/>
    <x v="23"/>
    <x v="0"/>
    <d v="2024-03-20T00:00:00"/>
    <x v="0"/>
    <n v="15"/>
    <s v="Annual"/>
    <x v="0"/>
    <x v="0"/>
    <x v="0"/>
    <n v="20"/>
    <x v="7"/>
    <x v="8"/>
  </r>
  <r>
    <n v="3255"/>
    <x v="24"/>
    <x v="2"/>
    <d v="2024-03-21T00:00:00"/>
    <x v="1"/>
    <n v="10"/>
    <s v="Monthly"/>
    <x v="1"/>
    <x v="1"/>
    <x v="0"/>
    <n v="20"/>
    <x v="2"/>
    <x v="2"/>
  </r>
  <r>
    <n v="3256"/>
    <x v="25"/>
    <x v="1"/>
    <d v="2024-03-22T00:00:00"/>
    <x v="0"/>
    <n v="5"/>
    <s v="Quarterly"/>
    <x v="1"/>
    <x v="1"/>
    <x v="1"/>
    <n v="0"/>
    <x v="1"/>
    <x v="1"/>
  </r>
  <r>
    <n v="3257"/>
    <x v="26"/>
    <x v="0"/>
    <d v="2024-03-23T00:00:00"/>
    <x v="1"/>
    <n v="15"/>
    <s v="Monthly"/>
    <x v="0"/>
    <x v="0"/>
    <x v="0"/>
    <n v="20"/>
    <x v="0"/>
    <x v="0"/>
  </r>
  <r>
    <n v="3258"/>
    <x v="27"/>
    <x v="2"/>
    <d v="2024-03-24T00:00:00"/>
    <x v="0"/>
    <n v="10"/>
    <s v="Annual"/>
    <x v="1"/>
    <x v="1"/>
    <x v="0"/>
    <n v="20"/>
    <x v="6"/>
    <x v="7"/>
  </r>
  <r>
    <n v="3259"/>
    <x v="28"/>
    <x v="1"/>
    <d v="2024-03-25T00:00:00"/>
    <x v="1"/>
    <n v="5"/>
    <s v="Monthly"/>
    <x v="1"/>
    <x v="1"/>
    <x v="1"/>
    <n v="0"/>
    <x v="4"/>
    <x v="4"/>
  </r>
  <r>
    <n v="3260"/>
    <x v="29"/>
    <x v="0"/>
    <d v="2024-03-26T00:00:00"/>
    <x v="0"/>
    <n v="15"/>
    <s v="Quarterly"/>
    <x v="0"/>
    <x v="0"/>
    <x v="0"/>
    <n v="20"/>
    <x v="10"/>
    <x v="12"/>
  </r>
  <r>
    <n v="3261"/>
    <x v="30"/>
    <x v="2"/>
    <d v="2024-03-27T00:00:00"/>
    <x v="1"/>
    <n v="10"/>
    <s v="Monthly"/>
    <x v="1"/>
    <x v="1"/>
    <x v="0"/>
    <n v="20"/>
    <x v="2"/>
    <x v="2"/>
  </r>
  <r>
    <n v="3262"/>
    <x v="31"/>
    <x v="1"/>
    <d v="2024-03-28T00:00:00"/>
    <x v="0"/>
    <n v="5"/>
    <s v="Annual"/>
    <x v="1"/>
    <x v="1"/>
    <x v="1"/>
    <n v="0"/>
    <x v="1"/>
    <x v="1"/>
  </r>
  <r>
    <n v="3263"/>
    <x v="32"/>
    <x v="0"/>
    <d v="2024-03-29T00:00:00"/>
    <x v="1"/>
    <n v="15"/>
    <s v="Monthly"/>
    <x v="0"/>
    <x v="0"/>
    <x v="0"/>
    <n v="20"/>
    <x v="3"/>
    <x v="3"/>
  </r>
  <r>
    <n v="3264"/>
    <x v="33"/>
    <x v="2"/>
    <d v="2024-03-30T00:00:00"/>
    <x v="0"/>
    <n v="10"/>
    <s v="Quarterly"/>
    <x v="1"/>
    <x v="1"/>
    <x v="0"/>
    <n v="20"/>
    <x v="6"/>
    <x v="7"/>
  </r>
  <r>
    <n v="3265"/>
    <x v="34"/>
    <x v="1"/>
    <d v="2024-03-31T00:00:00"/>
    <x v="1"/>
    <n v="5"/>
    <s v="Monthly"/>
    <x v="1"/>
    <x v="1"/>
    <x v="1"/>
    <n v="0"/>
    <x v="4"/>
    <x v="4"/>
  </r>
  <r>
    <n v="3266"/>
    <x v="35"/>
    <x v="1"/>
    <d v="2024-04-01T00:00:00"/>
    <x v="0"/>
    <n v="5"/>
    <s v="Monthly"/>
    <x v="1"/>
    <x v="1"/>
    <x v="1"/>
    <n v="0"/>
    <x v="1"/>
    <x v="1"/>
  </r>
  <r>
    <n v="3267"/>
    <x v="36"/>
    <x v="0"/>
    <d v="2024-04-02T00:00:00"/>
    <x v="1"/>
    <n v="15"/>
    <s v="Quarterly"/>
    <x v="0"/>
    <x v="0"/>
    <x v="0"/>
    <n v="20"/>
    <x v="10"/>
    <x v="12"/>
  </r>
  <r>
    <n v="3268"/>
    <x v="37"/>
    <x v="2"/>
    <d v="2024-04-03T00:00:00"/>
    <x v="0"/>
    <n v="10"/>
    <s v="Annual"/>
    <x v="1"/>
    <x v="1"/>
    <x v="0"/>
    <n v="20"/>
    <x v="2"/>
    <x v="2"/>
  </r>
  <r>
    <n v="3269"/>
    <x v="38"/>
    <x v="1"/>
    <d v="2024-04-04T00:00:00"/>
    <x v="1"/>
    <n v="5"/>
    <s v="Quarterly"/>
    <x v="1"/>
    <x v="1"/>
    <x v="1"/>
    <n v="0"/>
    <x v="4"/>
    <x v="4"/>
  </r>
  <r>
    <n v="3270"/>
    <x v="39"/>
    <x v="0"/>
    <d v="2024-04-05T00:00:00"/>
    <x v="0"/>
    <n v="15"/>
    <s v="Monthly"/>
    <x v="0"/>
    <x v="0"/>
    <x v="0"/>
    <n v="20"/>
    <x v="6"/>
    <x v="14"/>
  </r>
  <r>
    <n v="3271"/>
    <x v="40"/>
    <x v="2"/>
    <d v="2024-04-06T00:00:00"/>
    <x v="1"/>
    <n v="10"/>
    <s v="Monthly"/>
    <x v="1"/>
    <x v="1"/>
    <x v="0"/>
    <n v="20"/>
    <x v="0"/>
    <x v="13"/>
  </r>
  <r>
    <n v="3272"/>
    <x v="41"/>
    <x v="1"/>
    <d v="2024-04-07T00:00:00"/>
    <x v="0"/>
    <n v="5"/>
    <s v="Annual"/>
    <x v="1"/>
    <x v="1"/>
    <x v="1"/>
    <n v="0"/>
    <x v="1"/>
    <x v="1"/>
  </r>
  <r>
    <n v="3273"/>
    <x v="42"/>
    <x v="0"/>
    <d v="2024-04-08T00:00:00"/>
    <x v="1"/>
    <n v="15"/>
    <s v="Quarterly"/>
    <x v="0"/>
    <x v="0"/>
    <x v="0"/>
    <n v="20"/>
    <x v="7"/>
    <x v="8"/>
  </r>
  <r>
    <n v="3274"/>
    <x v="43"/>
    <x v="2"/>
    <d v="2024-04-09T00:00:00"/>
    <x v="0"/>
    <n v="10"/>
    <s v="Quarterly"/>
    <x v="1"/>
    <x v="1"/>
    <x v="0"/>
    <n v="20"/>
    <x v="9"/>
    <x v="10"/>
  </r>
  <r>
    <n v="3275"/>
    <x v="44"/>
    <x v="1"/>
    <d v="2024-04-10T00:00:00"/>
    <x v="1"/>
    <n v="5"/>
    <s v="Monthly"/>
    <x v="1"/>
    <x v="1"/>
    <x v="1"/>
    <n v="0"/>
    <x v="5"/>
    <x v="11"/>
  </r>
  <r>
    <n v="3276"/>
    <x v="45"/>
    <x v="0"/>
    <d v="2024-04-11T00:00:00"/>
    <x v="0"/>
    <n v="15"/>
    <s v="Annual"/>
    <x v="0"/>
    <x v="0"/>
    <x v="0"/>
    <n v="20"/>
    <x v="0"/>
    <x v="0"/>
  </r>
  <r>
    <n v="3277"/>
    <x v="46"/>
    <x v="2"/>
    <d v="2024-04-12T00:00:00"/>
    <x v="1"/>
    <n v="10"/>
    <s v="Monthly"/>
    <x v="1"/>
    <x v="1"/>
    <x v="0"/>
    <n v="20"/>
    <x v="2"/>
    <x v="2"/>
  </r>
  <r>
    <n v="3278"/>
    <x v="47"/>
    <x v="1"/>
    <d v="2024-04-13T00:00:00"/>
    <x v="0"/>
    <n v="5"/>
    <s v="Quarterly"/>
    <x v="1"/>
    <x v="1"/>
    <x v="1"/>
    <n v="0"/>
    <x v="1"/>
    <x v="1"/>
  </r>
  <r>
    <n v="3279"/>
    <x v="48"/>
    <x v="0"/>
    <d v="2024-04-14T00:00:00"/>
    <x v="1"/>
    <n v="15"/>
    <s v="Monthly"/>
    <x v="0"/>
    <x v="0"/>
    <x v="0"/>
    <n v="20"/>
    <x v="3"/>
    <x v="3"/>
  </r>
  <r>
    <n v="3280"/>
    <x v="49"/>
    <x v="2"/>
    <d v="2024-04-15T00:00:00"/>
    <x v="0"/>
    <n v="10"/>
    <s v="Annual"/>
    <x v="1"/>
    <x v="1"/>
    <x v="0"/>
    <n v="20"/>
    <x v="6"/>
    <x v="7"/>
  </r>
  <r>
    <n v="3281"/>
    <x v="50"/>
    <x v="1"/>
    <d v="2024-04-16T00:00:00"/>
    <x v="1"/>
    <n v="5"/>
    <s v="Monthly"/>
    <x v="1"/>
    <x v="1"/>
    <x v="1"/>
    <n v="0"/>
    <x v="4"/>
    <x v="4"/>
  </r>
  <r>
    <n v="3282"/>
    <x v="51"/>
    <x v="0"/>
    <d v="2024-04-17T00:00:00"/>
    <x v="0"/>
    <n v="15"/>
    <s v="Quarterly"/>
    <x v="0"/>
    <x v="0"/>
    <x v="0"/>
    <n v="20"/>
    <x v="10"/>
    <x v="12"/>
  </r>
  <r>
    <n v="3283"/>
    <x v="52"/>
    <x v="2"/>
    <d v="2024-04-18T00:00:00"/>
    <x v="1"/>
    <n v="10"/>
    <s v="Monthly"/>
    <x v="1"/>
    <x v="1"/>
    <x v="0"/>
    <n v="20"/>
    <x v="2"/>
    <x v="2"/>
  </r>
  <r>
    <n v="3284"/>
    <x v="53"/>
    <x v="1"/>
    <d v="2024-04-19T00:00:00"/>
    <x v="0"/>
    <n v="5"/>
    <s v="Annual"/>
    <x v="1"/>
    <x v="1"/>
    <x v="1"/>
    <n v="0"/>
    <x v="1"/>
    <x v="1"/>
  </r>
  <r>
    <n v="3285"/>
    <x v="54"/>
    <x v="0"/>
    <d v="2024-04-20T00:00:00"/>
    <x v="1"/>
    <n v="15"/>
    <s v="Monthly"/>
    <x v="0"/>
    <x v="0"/>
    <x v="0"/>
    <n v="20"/>
    <x v="7"/>
    <x v="8"/>
  </r>
  <r>
    <n v="3286"/>
    <x v="55"/>
    <x v="2"/>
    <d v="2024-04-21T00:00:00"/>
    <x v="0"/>
    <n v="10"/>
    <s v="Quarterly"/>
    <x v="1"/>
    <x v="1"/>
    <x v="0"/>
    <n v="20"/>
    <x v="6"/>
    <x v="7"/>
  </r>
  <r>
    <n v="3287"/>
    <x v="56"/>
    <x v="1"/>
    <d v="2024-04-22T00:00:00"/>
    <x v="1"/>
    <n v="5"/>
    <s v="Monthly"/>
    <x v="1"/>
    <x v="1"/>
    <x v="1"/>
    <n v="0"/>
    <x v="4"/>
    <x v="4"/>
  </r>
  <r>
    <n v="3288"/>
    <x v="57"/>
    <x v="0"/>
    <d v="2024-04-23T00:00:00"/>
    <x v="0"/>
    <n v="15"/>
    <s v="Annual"/>
    <x v="0"/>
    <x v="0"/>
    <x v="0"/>
    <n v="20"/>
    <x v="3"/>
    <x v="3"/>
  </r>
  <r>
    <n v="3289"/>
    <x v="58"/>
    <x v="2"/>
    <d v="2024-04-24T00:00:00"/>
    <x v="1"/>
    <n v="10"/>
    <s v="Monthly"/>
    <x v="1"/>
    <x v="1"/>
    <x v="0"/>
    <n v="20"/>
    <x v="2"/>
    <x v="2"/>
  </r>
  <r>
    <n v="3290"/>
    <x v="59"/>
    <x v="1"/>
    <d v="2024-04-25T00:00:00"/>
    <x v="0"/>
    <n v="5"/>
    <s v="Quarterly"/>
    <x v="1"/>
    <x v="1"/>
    <x v="1"/>
    <n v="0"/>
    <x v="1"/>
    <x v="1"/>
  </r>
  <r>
    <n v="3291"/>
    <x v="60"/>
    <x v="0"/>
    <d v="2024-04-26T00:00:00"/>
    <x v="1"/>
    <n v="15"/>
    <s v="Monthly"/>
    <x v="0"/>
    <x v="0"/>
    <x v="0"/>
    <n v="20"/>
    <x v="0"/>
    <x v="0"/>
  </r>
  <r>
    <n v="3292"/>
    <x v="61"/>
    <x v="2"/>
    <d v="2024-04-27T00:00:00"/>
    <x v="0"/>
    <n v="10"/>
    <s v="Annual"/>
    <x v="1"/>
    <x v="1"/>
    <x v="0"/>
    <n v="20"/>
    <x v="6"/>
    <x v="7"/>
  </r>
  <r>
    <n v="3293"/>
    <x v="62"/>
    <x v="1"/>
    <d v="2024-04-28T00:00:00"/>
    <x v="1"/>
    <n v="5"/>
    <s v="Monthly"/>
    <x v="1"/>
    <x v="1"/>
    <x v="1"/>
    <n v="0"/>
    <x v="4"/>
    <x v="4"/>
  </r>
  <r>
    <n v="3294"/>
    <x v="63"/>
    <x v="0"/>
    <d v="2024-04-29T00:00:00"/>
    <x v="0"/>
    <n v="15"/>
    <s v="Quarterly"/>
    <x v="0"/>
    <x v="0"/>
    <x v="0"/>
    <n v="20"/>
    <x v="7"/>
    <x v="8"/>
  </r>
  <r>
    <n v="3295"/>
    <x v="64"/>
    <x v="2"/>
    <d v="2024-04-30T00:00:00"/>
    <x v="1"/>
    <n v="10"/>
    <s v="Monthly"/>
    <x v="1"/>
    <x v="1"/>
    <x v="0"/>
    <n v="20"/>
    <x v="0"/>
    <x v="13"/>
  </r>
  <r>
    <n v="3296"/>
    <x v="65"/>
    <x v="1"/>
    <d v="2024-05-01T00:00:00"/>
    <x v="1"/>
    <n v="5"/>
    <s v="Monthly"/>
    <x v="1"/>
    <x v="1"/>
    <x v="1"/>
    <n v="0"/>
    <x v="1"/>
    <x v="1"/>
  </r>
  <r>
    <n v="3297"/>
    <x v="66"/>
    <x v="0"/>
    <d v="2024-05-02T00:00:00"/>
    <x v="0"/>
    <n v="15"/>
    <s v="Quarterly"/>
    <x v="0"/>
    <x v="0"/>
    <x v="0"/>
    <n v="20"/>
    <x v="10"/>
    <x v="12"/>
  </r>
  <r>
    <n v="3298"/>
    <x v="67"/>
    <x v="2"/>
    <d v="2024-05-03T00:00:00"/>
    <x v="1"/>
    <n v="10"/>
    <s v="Annual"/>
    <x v="1"/>
    <x v="1"/>
    <x v="0"/>
    <n v="20"/>
    <x v="2"/>
    <x v="2"/>
  </r>
  <r>
    <n v="3299"/>
    <x v="68"/>
    <x v="1"/>
    <d v="2024-05-04T00:00:00"/>
    <x v="0"/>
    <n v="5"/>
    <s v="Quarterly"/>
    <x v="1"/>
    <x v="1"/>
    <x v="1"/>
    <n v="0"/>
    <x v="4"/>
    <x v="4"/>
  </r>
  <r>
    <n v="3300"/>
    <x v="69"/>
    <x v="0"/>
    <d v="2024-05-05T00:00:00"/>
    <x v="1"/>
    <n v="15"/>
    <s v="Monthly"/>
    <x v="0"/>
    <x v="0"/>
    <x v="0"/>
    <n v="20"/>
    <x v="6"/>
    <x v="14"/>
  </r>
  <r>
    <n v="3301"/>
    <x v="70"/>
    <x v="2"/>
    <d v="2024-05-06T00:00:00"/>
    <x v="0"/>
    <n v="10"/>
    <s v="Monthly"/>
    <x v="1"/>
    <x v="1"/>
    <x v="0"/>
    <n v="20"/>
    <x v="0"/>
    <x v="13"/>
  </r>
  <r>
    <n v="3302"/>
    <x v="71"/>
    <x v="1"/>
    <d v="2024-05-07T00:00:00"/>
    <x v="1"/>
    <n v="5"/>
    <s v="Annual"/>
    <x v="1"/>
    <x v="1"/>
    <x v="1"/>
    <n v="0"/>
    <x v="1"/>
    <x v="1"/>
  </r>
  <r>
    <n v="3303"/>
    <x v="72"/>
    <x v="0"/>
    <d v="2024-05-08T00:00:00"/>
    <x v="0"/>
    <n v="15"/>
    <s v="Quarterly"/>
    <x v="0"/>
    <x v="0"/>
    <x v="0"/>
    <n v="20"/>
    <x v="7"/>
    <x v="8"/>
  </r>
  <r>
    <n v="3304"/>
    <x v="73"/>
    <x v="2"/>
    <d v="2024-05-09T00:00:00"/>
    <x v="1"/>
    <n v="10"/>
    <s v="Quarterly"/>
    <x v="1"/>
    <x v="1"/>
    <x v="0"/>
    <n v="20"/>
    <x v="9"/>
    <x v="10"/>
  </r>
  <r>
    <n v="3305"/>
    <x v="74"/>
    <x v="1"/>
    <d v="2024-05-10T00:00:00"/>
    <x v="0"/>
    <n v="5"/>
    <s v="Monthly"/>
    <x v="1"/>
    <x v="1"/>
    <x v="1"/>
    <n v="0"/>
    <x v="5"/>
    <x v="11"/>
  </r>
  <r>
    <n v="3306"/>
    <x v="75"/>
    <x v="0"/>
    <d v="2024-05-11T00:00:00"/>
    <x v="1"/>
    <n v="15"/>
    <s v="Annual"/>
    <x v="0"/>
    <x v="0"/>
    <x v="0"/>
    <n v="20"/>
    <x v="0"/>
    <x v="0"/>
  </r>
  <r>
    <n v="3307"/>
    <x v="76"/>
    <x v="2"/>
    <d v="2024-05-12T00:00:00"/>
    <x v="0"/>
    <n v="10"/>
    <s v="Monthly"/>
    <x v="1"/>
    <x v="1"/>
    <x v="0"/>
    <n v="20"/>
    <x v="2"/>
    <x v="2"/>
  </r>
  <r>
    <n v="3308"/>
    <x v="77"/>
    <x v="1"/>
    <d v="2024-05-13T00:00:00"/>
    <x v="1"/>
    <n v="5"/>
    <s v="Quarterly"/>
    <x v="1"/>
    <x v="1"/>
    <x v="1"/>
    <n v="0"/>
    <x v="1"/>
    <x v="1"/>
  </r>
  <r>
    <n v="3309"/>
    <x v="78"/>
    <x v="0"/>
    <d v="2024-05-14T00:00:00"/>
    <x v="0"/>
    <n v="15"/>
    <s v="Monthly"/>
    <x v="0"/>
    <x v="0"/>
    <x v="0"/>
    <n v="20"/>
    <x v="3"/>
    <x v="3"/>
  </r>
  <r>
    <n v="3310"/>
    <x v="79"/>
    <x v="2"/>
    <d v="2024-05-15T00:00:00"/>
    <x v="1"/>
    <n v="10"/>
    <s v="Annual"/>
    <x v="1"/>
    <x v="1"/>
    <x v="0"/>
    <n v="20"/>
    <x v="6"/>
    <x v="7"/>
  </r>
  <r>
    <n v="3311"/>
    <x v="80"/>
    <x v="1"/>
    <d v="2024-05-16T00:00:00"/>
    <x v="0"/>
    <n v="5"/>
    <s v="Monthly"/>
    <x v="1"/>
    <x v="1"/>
    <x v="1"/>
    <n v="0"/>
    <x v="4"/>
    <x v="4"/>
  </r>
  <r>
    <n v="3312"/>
    <x v="81"/>
    <x v="0"/>
    <d v="2024-05-17T00:00:00"/>
    <x v="1"/>
    <n v="15"/>
    <s v="Quarterly"/>
    <x v="0"/>
    <x v="0"/>
    <x v="0"/>
    <n v="20"/>
    <x v="10"/>
    <x v="12"/>
  </r>
  <r>
    <n v="3313"/>
    <x v="82"/>
    <x v="2"/>
    <d v="2024-05-18T00:00:00"/>
    <x v="0"/>
    <n v="10"/>
    <s v="Monthly"/>
    <x v="1"/>
    <x v="1"/>
    <x v="0"/>
    <n v="20"/>
    <x v="2"/>
    <x v="2"/>
  </r>
  <r>
    <n v="3314"/>
    <x v="83"/>
    <x v="1"/>
    <d v="2024-05-19T00:00:00"/>
    <x v="1"/>
    <n v="5"/>
    <s v="Annual"/>
    <x v="1"/>
    <x v="1"/>
    <x v="1"/>
    <n v="0"/>
    <x v="1"/>
    <x v="1"/>
  </r>
  <r>
    <n v="3315"/>
    <x v="84"/>
    <x v="0"/>
    <d v="2024-05-20T00:00:00"/>
    <x v="0"/>
    <n v="15"/>
    <s v="Monthly"/>
    <x v="0"/>
    <x v="0"/>
    <x v="0"/>
    <n v="20"/>
    <x v="7"/>
    <x v="8"/>
  </r>
  <r>
    <n v="3316"/>
    <x v="85"/>
    <x v="2"/>
    <d v="2024-05-21T00:00:00"/>
    <x v="1"/>
    <n v="10"/>
    <s v="Quarterly"/>
    <x v="1"/>
    <x v="1"/>
    <x v="0"/>
    <n v="20"/>
    <x v="6"/>
    <x v="7"/>
  </r>
  <r>
    <n v="3317"/>
    <x v="86"/>
    <x v="1"/>
    <d v="2024-05-22T00:00:00"/>
    <x v="0"/>
    <n v="5"/>
    <s v="Monthly"/>
    <x v="1"/>
    <x v="1"/>
    <x v="1"/>
    <n v="0"/>
    <x v="4"/>
    <x v="4"/>
  </r>
  <r>
    <n v="3318"/>
    <x v="87"/>
    <x v="0"/>
    <d v="2024-05-23T00:00:00"/>
    <x v="1"/>
    <n v="15"/>
    <s v="Annual"/>
    <x v="0"/>
    <x v="0"/>
    <x v="0"/>
    <n v="20"/>
    <x v="3"/>
    <x v="3"/>
  </r>
  <r>
    <n v="3319"/>
    <x v="88"/>
    <x v="2"/>
    <d v="2024-05-24T00:00:00"/>
    <x v="0"/>
    <n v="10"/>
    <s v="Monthly"/>
    <x v="1"/>
    <x v="1"/>
    <x v="0"/>
    <n v="20"/>
    <x v="2"/>
    <x v="2"/>
  </r>
  <r>
    <n v="3320"/>
    <x v="89"/>
    <x v="1"/>
    <d v="2024-05-25T00:00:00"/>
    <x v="1"/>
    <n v="5"/>
    <s v="Quarterly"/>
    <x v="1"/>
    <x v="1"/>
    <x v="1"/>
    <n v="0"/>
    <x v="1"/>
    <x v="1"/>
  </r>
  <r>
    <n v="3321"/>
    <x v="90"/>
    <x v="0"/>
    <d v="2024-05-26T00:00:00"/>
    <x v="0"/>
    <n v="15"/>
    <s v="Monthly"/>
    <x v="0"/>
    <x v="0"/>
    <x v="0"/>
    <n v="20"/>
    <x v="0"/>
    <x v="0"/>
  </r>
  <r>
    <n v="3322"/>
    <x v="91"/>
    <x v="2"/>
    <d v="2024-05-27T00:00:00"/>
    <x v="1"/>
    <n v="10"/>
    <s v="Annual"/>
    <x v="1"/>
    <x v="1"/>
    <x v="0"/>
    <n v="20"/>
    <x v="6"/>
    <x v="7"/>
  </r>
  <r>
    <n v="3323"/>
    <x v="92"/>
    <x v="1"/>
    <d v="2024-05-28T00:00:00"/>
    <x v="0"/>
    <n v="5"/>
    <s v="Monthly"/>
    <x v="1"/>
    <x v="1"/>
    <x v="1"/>
    <n v="0"/>
    <x v="4"/>
    <x v="4"/>
  </r>
  <r>
    <n v="3324"/>
    <x v="93"/>
    <x v="0"/>
    <d v="2024-05-29T00:00:00"/>
    <x v="1"/>
    <n v="15"/>
    <s v="Quarterly"/>
    <x v="0"/>
    <x v="0"/>
    <x v="0"/>
    <n v="20"/>
    <x v="7"/>
    <x v="8"/>
  </r>
  <r>
    <n v="3325"/>
    <x v="94"/>
    <x v="2"/>
    <d v="2024-05-30T00:00:00"/>
    <x v="0"/>
    <n v="10"/>
    <s v="Quarterly"/>
    <x v="1"/>
    <x v="1"/>
    <x v="0"/>
    <n v="20"/>
    <x v="6"/>
    <x v="7"/>
  </r>
  <r>
    <n v="3326"/>
    <x v="95"/>
    <x v="1"/>
    <d v="2024-05-31T00:00:00"/>
    <x v="1"/>
    <n v="5"/>
    <s v="Annual"/>
    <x v="1"/>
    <x v="1"/>
    <x v="1"/>
    <n v="0"/>
    <x v="1"/>
    <x v="1"/>
  </r>
  <r>
    <n v="3327"/>
    <x v="96"/>
    <x v="0"/>
    <d v="2024-06-01T00:00:00"/>
    <x v="0"/>
    <n v="15"/>
    <s v="Monthly"/>
    <x v="0"/>
    <x v="0"/>
    <x v="0"/>
    <n v="20"/>
    <x v="10"/>
    <x v="12"/>
  </r>
  <r>
    <n v="3328"/>
    <x v="97"/>
    <x v="2"/>
    <d v="2024-06-02T00:00:00"/>
    <x v="1"/>
    <n v="10"/>
    <s v="Annual"/>
    <x v="1"/>
    <x v="1"/>
    <x v="0"/>
    <n v="20"/>
    <x v="2"/>
    <x v="2"/>
  </r>
  <r>
    <n v="3329"/>
    <x v="98"/>
    <x v="1"/>
    <d v="2024-06-03T00:00:00"/>
    <x v="0"/>
    <n v="5"/>
    <s v="Quarterly"/>
    <x v="1"/>
    <x v="1"/>
    <x v="1"/>
    <n v="0"/>
    <x v="4"/>
    <x v="4"/>
  </r>
  <r>
    <n v="3330"/>
    <x v="99"/>
    <x v="0"/>
    <d v="2024-06-04T00:00:00"/>
    <x v="1"/>
    <n v="15"/>
    <s v="Monthly"/>
    <x v="0"/>
    <x v="0"/>
    <x v="0"/>
    <n v="20"/>
    <x v="6"/>
    <x v="14"/>
  </r>
  <r>
    <n v="3331"/>
    <x v="100"/>
    <x v="2"/>
    <d v="2024-06-05T00:00:00"/>
    <x v="0"/>
    <n v="10"/>
    <s v="Monthly"/>
    <x v="1"/>
    <x v="1"/>
    <x v="0"/>
    <n v="20"/>
    <x v="0"/>
    <x v="13"/>
  </r>
  <r>
    <n v="3332"/>
    <x v="101"/>
    <x v="1"/>
    <d v="2024-06-06T00:00:00"/>
    <x v="1"/>
    <n v="5"/>
    <s v="Annual"/>
    <x v="1"/>
    <x v="1"/>
    <x v="1"/>
    <n v="0"/>
    <x v="1"/>
    <x v="1"/>
  </r>
  <r>
    <n v="3333"/>
    <x v="102"/>
    <x v="0"/>
    <d v="2024-06-07T00:00:00"/>
    <x v="0"/>
    <n v="15"/>
    <s v="Quarterly"/>
    <x v="0"/>
    <x v="0"/>
    <x v="0"/>
    <n v="20"/>
    <x v="7"/>
    <x v="8"/>
  </r>
  <r>
    <n v="3334"/>
    <x v="103"/>
    <x v="2"/>
    <d v="2024-06-08T00:00:00"/>
    <x v="1"/>
    <n v="10"/>
    <s v="Quarterly"/>
    <x v="1"/>
    <x v="1"/>
    <x v="0"/>
    <n v="20"/>
    <x v="9"/>
    <x v="10"/>
  </r>
  <r>
    <n v="3335"/>
    <x v="104"/>
    <x v="1"/>
    <d v="2024-06-09T00:00:00"/>
    <x v="0"/>
    <n v="5"/>
    <s v="Monthly"/>
    <x v="1"/>
    <x v="1"/>
    <x v="1"/>
    <n v="0"/>
    <x v="5"/>
    <x v="11"/>
  </r>
  <r>
    <n v="3336"/>
    <x v="105"/>
    <x v="1"/>
    <d v="2024-06-10T00:00:00"/>
    <x v="0"/>
    <n v="5"/>
    <s v="Monthly"/>
    <x v="1"/>
    <x v="1"/>
    <x v="1"/>
    <n v="0"/>
    <x v="1"/>
    <x v="1"/>
  </r>
  <r>
    <n v="3337"/>
    <x v="106"/>
    <x v="0"/>
    <d v="2024-06-11T00:00:00"/>
    <x v="1"/>
    <n v="15"/>
    <s v="Quarterly"/>
    <x v="0"/>
    <x v="0"/>
    <x v="0"/>
    <n v="20"/>
    <x v="10"/>
    <x v="12"/>
  </r>
  <r>
    <n v="3338"/>
    <x v="107"/>
    <x v="2"/>
    <d v="2024-06-12T00:00:00"/>
    <x v="0"/>
    <n v="10"/>
    <s v="Annual"/>
    <x v="1"/>
    <x v="1"/>
    <x v="0"/>
    <n v="20"/>
    <x v="2"/>
    <x v="2"/>
  </r>
  <r>
    <n v="3339"/>
    <x v="108"/>
    <x v="1"/>
    <d v="2024-06-13T00:00:00"/>
    <x v="1"/>
    <n v="5"/>
    <s v="Quarterly"/>
    <x v="1"/>
    <x v="1"/>
    <x v="1"/>
    <n v="0"/>
    <x v="4"/>
    <x v="4"/>
  </r>
  <r>
    <n v="3340"/>
    <x v="109"/>
    <x v="0"/>
    <d v="2024-06-14T00:00:00"/>
    <x v="0"/>
    <n v="15"/>
    <s v="Monthly"/>
    <x v="0"/>
    <x v="0"/>
    <x v="0"/>
    <n v="20"/>
    <x v="6"/>
    <x v="14"/>
  </r>
  <r>
    <n v="3341"/>
    <x v="110"/>
    <x v="2"/>
    <d v="2024-06-15T00:00:00"/>
    <x v="1"/>
    <n v="10"/>
    <s v="Monthly"/>
    <x v="1"/>
    <x v="1"/>
    <x v="0"/>
    <n v="20"/>
    <x v="0"/>
    <x v="13"/>
  </r>
  <r>
    <n v="3342"/>
    <x v="111"/>
    <x v="1"/>
    <d v="2024-06-16T00:00:00"/>
    <x v="0"/>
    <n v="5"/>
    <s v="Annual"/>
    <x v="1"/>
    <x v="1"/>
    <x v="1"/>
    <n v="0"/>
    <x v="1"/>
    <x v="1"/>
  </r>
  <r>
    <n v="3343"/>
    <x v="112"/>
    <x v="0"/>
    <d v="2024-06-17T00:00:00"/>
    <x v="1"/>
    <n v="15"/>
    <s v="Quarterly"/>
    <x v="0"/>
    <x v="0"/>
    <x v="0"/>
    <n v="20"/>
    <x v="7"/>
    <x v="8"/>
  </r>
  <r>
    <n v="3344"/>
    <x v="113"/>
    <x v="2"/>
    <d v="2024-06-18T00:00:00"/>
    <x v="0"/>
    <n v="10"/>
    <s v="Quarterly"/>
    <x v="1"/>
    <x v="1"/>
    <x v="0"/>
    <n v="20"/>
    <x v="9"/>
    <x v="10"/>
  </r>
  <r>
    <n v="3345"/>
    <x v="114"/>
    <x v="1"/>
    <d v="2024-06-19T00:00:00"/>
    <x v="1"/>
    <n v="5"/>
    <s v="Monthly"/>
    <x v="1"/>
    <x v="1"/>
    <x v="1"/>
    <n v="0"/>
    <x v="5"/>
    <x v="11"/>
  </r>
  <r>
    <n v="3346"/>
    <x v="115"/>
    <x v="0"/>
    <d v="2024-06-20T00:00:00"/>
    <x v="0"/>
    <n v="15"/>
    <s v="Annual"/>
    <x v="0"/>
    <x v="0"/>
    <x v="0"/>
    <n v="20"/>
    <x v="0"/>
    <x v="0"/>
  </r>
  <r>
    <n v="3347"/>
    <x v="116"/>
    <x v="2"/>
    <d v="2024-06-21T00:00:00"/>
    <x v="1"/>
    <n v="10"/>
    <s v="Monthly"/>
    <x v="1"/>
    <x v="1"/>
    <x v="0"/>
    <n v="20"/>
    <x v="2"/>
    <x v="2"/>
  </r>
  <r>
    <n v="3348"/>
    <x v="117"/>
    <x v="1"/>
    <d v="2024-06-22T00:00:00"/>
    <x v="0"/>
    <n v="5"/>
    <s v="Quarterly"/>
    <x v="1"/>
    <x v="1"/>
    <x v="1"/>
    <n v="0"/>
    <x v="1"/>
    <x v="1"/>
  </r>
  <r>
    <n v="3349"/>
    <x v="93"/>
    <x v="0"/>
    <d v="2024-06-23T00:00:00"/>
    <x v="1"/>
    <n v="15"/>
    <s v="Monthly"/>
    <x v="0"/>
    <x v="0"/>
    <x v="0"/>
    <n v="20"/>
    <x v="3"/>
    <x v="3"/>
  </r>
  <r>
    <n v="3350"/>
    <x v="118"/>
    <x v="2"/>
    <d v="2024-06-24T00:00:00"/>
    <x v="0"/>
    <n v="10"/>
    <s v="Annual"/>
    <x v="1"/>
    <x v="1"/>
    <x v="0"/>
    <n v="20"/>
    <x v="6"/>
    <x v="7"/>
  </r>
  <r>
    <n v="3351"/>
    <x v="119"/>
    <x v="1"/>
    <d v="2024-06-25T00:00:00"/>
    <x v="1"/>
    <n v="5"/>
    <s v="Monthly"/>
    <x v="1"/>
    <x v="1"/>
    <x v="1"/>
    <n v="0"/>
    <x v="4"/>
    <x v="4"/>
  </r>
  <r>
    <n v="3352"/>
    <x v="120"/>
    <x v="0"/>
    <d v="2024-06-26T00:00:00"/>
    <x v="0"/>
    <n v="15"/>
    <s v="Quarterly"/>
    <x v="0"/>
    <x v="0"/>
    <x v="0"/>
    <n v="20"/>
    <x v="10"/>
    <x v="12"/>
  </r>
  <r>
    <n v="3353"/>
    <x v="121"/>
    <x v="2"/>
    <d v="2024-06-27T00:00:00"/>
    <x v="1"/>
    <n v="10"/>
    <s v="Monthly"/>
    <x v="1"/>
    <x v="1"/>
    <x v="0"/>
    <n v="20"/>
    <x v="2"/>
    <x v="2"/>
  </r>
  <r>
    <n v="3354"/>
    <x v="122"/>
    <x v="1"/>
    <d v="2024-06-28T00:00:00"/>
    <x v="0"/>
    <n v="5"/>
    <s v="Annual"/>
    <x v="1"/>
    <x v="1"/>
    <x v="1"/>
    <n v="0"/>
    <x v="1"/>
    <x v="1"/>
  </r>
  <r>
    <n v="3355"/>
    <x v="123"/>
    <x v="0"/>
    <d v="2024-06-29T00:00:00"/>
    <x v="1"/>
    <n v="15"/>
    <s v="Monthly"/>
    <x v="0"/>
    <x v="0"/>
    <x v="0"/>
    <n v="20"/>
    <x v="7"/>
    <x v="8"/>
  </r>
  <r>
    <n v="3356"/>
    <x v="124"/>
    <x v="2"/>
    <d v="2024-06-30T00:00:00"/>
    <x v="0"/>
    <n v="10"/>
    <s v="Quarterly"/>
    <x v="1"/>
    <x v="1"/>
    <x v="0"/>
    <n v="20"/>
    <x v="6"/>
    <x v="7"/>
  </r>
  <r>
    <n v="3357"/>
    <x v="125"/>
    <x v="1"/>
    <d v="2024-07-01T00:00:00"/>
    <x v="1"/>
    <n v="5"/>
    <s v="Monthly"/>
    <x v="1"/>
    <x v="1"/>
    <x v="1"/>
    <n v="0"/>
    <x v="4"/>
    <x v="4"/>
  </r>
  <r>
    <n v="3358"/>
    <x v="126"/>
    <x v="0"/>
    <d v="2024-07-02T00:00:00"/>
    <x v="0"/>
    <n v="15"/>
    <s v="Annual"/>
    <x v="0"/>
    <x v="0"/>
    <x v="0"/>
    <n v="20"/>
    <x v="3"/>
    <x v="3"/>
  </r>
  <r>
    <n v="3359"/>
    <x v="127"/>
    <x v="2"/>
    <d v="2024-07-03T00:00:00"/>
    <x v="1"/>
    <n v="10"/>
    <s v="Monthly"/>
    <x v="1"/>
    <x v="1"/>
    <x v="0"/>
    <n v="20"/>
    <x v="2"/>
    <x v="2"/>
  </r>
  <r>
    <n v="3360"/>
    <x v="128"/>
    <x v="1"/>
    <d v="2024-07-04T00:00:00"/>
    <x v="0"/>
    <n v="5"/>
    <s v="Quarterly"/>
    <x v="1"/>
    <x v="1"/>
    <x v="1"/>
    <n v="0"/>
    <x v="1"/>
    <x v="1"/>
  </r>
  <r>
    <n v="3361"/>
    <x v="129"/>
    <x v="0"/>
    <d v="2024-07-05T00:00:00"/>
    <x v="1"/>
    <n v="15"/>
    <s v="Monthly"/>
    <x v="0"/>
    <x v="0"/>
    <x v="0"/>
    <n v="20"/>
    <x v="6"/>
    <x v="14"/>
  </r>
  <r>
    <n v="3362"/>
    <x v="130"/>
    <x v="2"/>
    <d v="2024-07-06T00:00:00"/>
    <x v="0"/>
    <n v="10"/>
    <s v="Annual"/>
    <x v="1"/>
    <x v="1"/>
    <x v="0"/>
    <n v="20"/>
    <x v="6"/>
    <x v="7"/>
  </r>
  <r>
    <n v="3363"/>
    <x v="131"/>
    <x v="1"/>
    <d v="2024-07-07T00:00:00"/>
    <x v="1"/>
    <n v="5"/>
    <s v="Monthly"/>
    <x v="1"/>
    <x v="1"/>
    <x v="1"/>
    <n v="0"/>
    <x v="4"/>
    <x v="4"/>
  </r>
  <r>
    <n v="3364"/>
    <x v="132"/>
    <x v="0"/>
    <d v="2024-07-08T00:00:00"/>
    <x v="0"/>
    <n v="15"/>
    <s v="Quarterly"/>
    <x v="0"/>
    <x v="0"/>
    <x v="0"/>
    <n v="20"/>
    <x v="10"/>
    <x v="12"/>
  </r>
  <r>
    <n v="3365"/>
    <x v="133"/>
    <x v="2"/>
    <d v="2024-07-09T00:00:00"/>
    <x v="1"/>
    <n v="10"/>
    <s v="Monthly"/>
    <x v="1"/>
    <x v="1"/>
    <x v="0"/>
    <n v="20"/>
    <x v="2"/>
    <x v="2"/>
  </r>
  <r>
    <n v="3366"/>
    <x v="134"/>
    <x v="1"/>
    <d v="2024-07-10T00:00:00"/>
    <x v="0"/>
    <n v="5"/>
    <s v="Monthly"/>
    <x v="1"/>
    <x v="1"/>
    <x v="1"/>
    <n v="0"/>
    <x v="1"/>
    <x v="1"/>
  </r>
  <r>
    <n v="3367"/>
    <x v="135"/>
    <x v="0"/>
    <d v="2024-07-11T00:00:00"/>
    <x v="1"/>
    <n v="15"/>
    <s v="Quarterly"/>
    <x v="0"/>
    <x v="0"/>
    <x v="0"/>
    <n v="20"/>
    <x v="10"/>
    <x v="12"/>
  </r>
  <r>
    <n v="3368"/>
    <x v="136"/>
    <x v="2"/>
    <d v="2024-07-12T00:00:00"/>
    <x v="0"/>
    <n v="10"/>
    <s v="Annual"/>
    <x v="1"/>
    <x v="1"/>
    <x v="0"/>
    <n v="20"/>
    <x v="2"/>
    <x v="2"/>
  </r>
  <r>
    <n v="3369"/>
    <x v="137"/>
    <x v="1"/>
    <d v="2024-07-13T00:00:00"/>
    <x v="1"/>
    <n v="5"/>
    <s v="Quarterly"/>
    <x v="1"/>
    <x v="1"/>
    <x v="1"/>
    <n v="0"/>
    <x v="4"/>
    <x v="4"/>
  </r>
  <r>
    <n v="3370"/>
    <x v="138"/>
    <x v="0"/>
    <d v="2024-07-14T00:00:00"/>
    <x v="0"/>
    <n v="15"/>
    <s v="Monthly"/>
    <x v="0"/>
    <x v="0"/>
    <x v="0"/>
    <n v="20"/>
    <x v="6"/>
    <x v="14"/>
  </r>
  <r>
    <n v="3371"/>
    <x v="139"/>
    <x v="2"/>
    <d v="2024-07-15T00:00:00"/>
    <x v="1"/>
    <n v="10"/>
    <s v="Monthly"/>
    <x v="1"/>
    <x v="1"/>
    <x v="0"/>
    <n v="20"/>
    <x v="0"/>
    <x v="13"/>
  </r>
  <r>
    <n v="3372"/>
    <x v="140"/>
    <x v="1"/>
    <d v="2024-07-16T00:00:00"/>
    <x v="0"/>
    <n v="5"/>
    <s v="Annual"/>
    <x v="1"/>
    <x v="1"/>
    <x v="1"/>
    <n v="0"/>
    <x v="1"/>
    <x v="1"/>
  </r>
  <r>
    <n v="3373"/>
    <x v="141"/>
    <x v="0"/>
    <d v="2024-07-17T00:00:00"/>
    <x v="1"/>
    <n v="15"/>
    <s v="Quarterly"/>
    <x v="0"/>
    <x v="0"/>
    <x v="0"/>
    <n v="20"/>
    <x v="7"/>
    <x v="8"/>
  </r>
  <r>
    <n v="3374"/>
    <x v="142"/>
    <x v="2"/>
    <d v="2024-07-18T00:00:00"/>
    <x v="0"/>
    <n v="10"/>
    <s v="Quarterly"/>
    <x v="1"/>
    <x v="1"/>
    <x v="0"/>
    <n v="20"/>
    <x v="9"/>
    <x v="10"/>
  </r>
  <r>
    <n v="3375"/>
    <x v="143"/>
    <x v="1"/>
    <d v="2024-07-19T00:00:00"/>
    <x v="1"/>
    <n v="5"/>
    <s v="Monthly"/>
    <x v="1"/>
    <x v="1"/>
    <x v="1"/>
    <n v="0"/>
    <x v="5"/>
    <x v="11"/>
  </r>
  <r>
    <n v="3376"/>
    <x v="144"/>
    <x v="0"/>
    <d v="2024-07-20T00:00:00"/>
    <x v="0"/>
    <n v="15"/>
    <s v="Annual"/>
    <x v="0"/>
    <x v="0"/>
    <x v="0"/>
    <n v="20"/>
    <x v="0"/>
    <x v="0"/>
  </r>
  <r>
    <n v="3377"/>
    <x v="145"/>
    <x v="2"/>
    <d v="2024-07-21T00:00:00"/>
    <x v="1"/>
    <n v="10"/>
    <s v="Monthly"/>
    <x v="1"/>
    <x v="1"/>
    <x v="0"/>
    <n v="20"/>
    <x v="2"/>
    <x v="2"/>
  </r>
  <r>
    <n v="3378"/>
    <x v="146"/>
    <x v="1"/>
    <d v="2024-07-22T00:00:00"/>
    <x v="0"/>
    <n v="5"/>
    <s v="Quarterly"/>
    <x v="1"/>
    <x v="1"/>
    <x v="1"/>
    <n v="0"/>
    <x v="1"/>
    <x v="1"/>
  </r>
  <r>
    <n v="3379"/>
    <x v="147"/>
    <x v="0"/>
    <d v="2024-07-23T00:00:00"/>
    <x v="1"/>
    <n v="15"/>
    <s v="Monthly"/>
    <x v="0"/>
    <x v="0"/>
    <x v="0"/>
    <n v="20"/>
    <x v="3"/>
    <x v="3"/>
  </r>
  <r>
    <n v="3380"/>
    <x v="148"/>
    <x v="2"/>
    <d v="2024-07-24T00:00:00"/>
    <x v="0"/>
    <n v="10"/>
    <s v="Annual"/>
    <x v="1"/>
    <x v="1"/>
    <x v="0"/>
    <n v="20"/>
    <x v="6"/>
    <x v="7"/>
  </r>
  <r>
    <n v="3381"/>
    <x v="149"/>
    <x v="1"/>
    <d v="2024-07-25T00:00:00"/>
    <x v="1"/>
    <n v="5"/>
    <s v="Monthly"/>
    <x v="1"/>
    <x v="1"/>
    <x v="1"/>
    <n v="0"/>
    <x v="4"/>
    <x v="4"/>
  </r>
  <r>
    <n v="3382"/>
    <x v="150"/>
    <x v="0"/>
    <d v="2024-07-26T00:00:00"/>
    <x v="0"/>
    <n v="15"/>
    <s v="Quarterly"/>
    <x v="0"/>
    <x v="0"/>
    <x v="0"/>
    <n v="20"/>
    <x v="10"/>
    <x v="12"/>
  </r>
  <r>
    <n v="3383"/>
    <x v="151"/>
    <x v="2"/>
    <d v="2024-07-27T00:00:00"/>
    <x v="1"/>
    <n v="10"/>
    <s v="Monthly"/>
    <x v="1"/>
    <x v="1"/>
    <x v="0"/>
    <n v="20"/>
    <x v="2"/>
    <x v="2"/>
  </r>
  <r>
    <n v="3384"/>
    <x v="152"/>
    <x v="1"/>
    <d v="2024-07-28T00:00:00"/>
    <x v="0"/>
    <n v="5"/>
    <s v="Annual"/>
    <x v="1"/>
    <x v="1"/>
    <x v="1"/>
    <n v="0"/>
    <x v="1"/>
    <x v="1"/>
  </r>
  <r>
    <n v="3385"/>
    <x v="153"/>
    <x v="0"/>
    <d v="2024-07-29T00:00:00"/>
    <x v="1"/>
    <n v="15"/>
    <s v="Monthly"/>
    <x v="0"/>
    <x v="0"/>
    <x v="0"/>
    <n v="20"/>
    <x v="7"/>
    <x v="8"/>
  </r>
  <r>
    <n v="3386"/>
    <x v="154"/>
    <x v="2"/>
    <d v="2024-07-30T00:00:00"/>
    <x v="0"/>
    <n v="10"/>
    <s v="Quarterly"/>
    <x v="1"/>
    <x v="1"/>
    <x v="0"/>
    <n v="20"/>
    <x v="6"/>
    <x v="7"/>
  </r>
  <r>
    <n v="3387"/>
    <x v="155"/>
    <x v="1"/>
    <d v="2024-07-31T00:00:00"/>
    <x v="1"/>
    <n v="5"/>
    <s v="Monthly"/>
    <x v="1"/>
    <x v="1"/>
    <x v="1"/>
    <n v="0"/>
    <x v="4"/>
    <x v="4"/>
  </r>
  <r>
    <n v="3388"/>
    <x v="156"/>
    <x v="0"/>
    <d v="2024-08-01T00:00:00"/>
    <x v="0"/>
    <n v="15"/>
    <s v="Annual"/>
    <x v="0"/>
    <x v="0"/>
    <x v="0"/>
    <n v="20"/>
    <x v="3"/>
    <x v="3"/>
  </r>
  <r>
    <n v="3389"/>
    <x v="157"/>
    <x v="2"/>
    <d v="2024-08-02T00:00:00"/>
    <x v="1"/>
    <n v="10"/>
    <s v="Monthly"/>
    <x v="1"/>
    <x v="1"/>
    <x v="0"/>
    <n v="20"/>
    <x v="2"/>
    <x v="2"/>
  </r>
  <r>
    <n v="3390"/>
    <x v="158"/>
    <x v="1"/>
    <d v="2024-08-03T00:00:00"/>
    <x v="0"/>
    <n v="5"/>
    <s v="Quarterly"/>
    <x v="1"/>
    <x v="1"/>
    <x v="1"/>
    <n v="0"/>
    <x v="1"/>
    <x v="1"/>
  </r>
  <r>
    <n v="3391"/>
    <x v="58"/>
    <x v="0"/>
    <d v="2024-08-04T00:00:00"/>
    <x v="1"/>
    <n v="15"/>
    <s v="Monthly"/>
    <x v="0"/>
    <x v="0"/>
    <x v="0"/>
    <n v="20"/>
    <x v="6"/>
    <x v="14"/>
  </r>
  <r>
    <n v="3392"/>
    <x v="159"/>
    <x v="2"/>
    <d v="2024-08-05T00:00:00"/>
    <x v="0"/>
    <n v="10"/>
    <s v="Annual"/>
    <x v="1"/>
    <x v="1"/>
    <x v="0"/>
    <n v="20"/>
    <x v="6"/>
    <x v="7"/>
  </r>
  <r>
    <n v="3393"/>
    <x v="160"/>
    <x v="1"/>
    <d v="2024-08-06T00:00:00"/>
    <x v="1"/>
    <n v="5"/>
    <s v="Monthly"/>
    <x v="1"/>
    <x v="1"/>
    <x v="1"/>
    <n v="0"/>
    <x v="4"/>
    <x v="4"/>
  </r>
  <r>
    <n v="3394"/>
    <x v="161"/>
    <x v="0"/>
    <d v="2024-08-07T00:00:00"/>
    <x v="0"/>
    <n v="15"/>
    <s v="Quarterly"/>
    <x v="0"/>
    <x v="0"/>
    <x v="0"/>
    <n v="20"/>
    <x v="10"/>
    <x v="12"/>
  </r>
  <r>
    <n v="3395"/>
    <x v="162"/>
    <x v="2"/>
    <d v="2024-08-08T00:00:00"/>
    <x v="1"/>
    <n v="10"/>
    <s v="Monthly"/>
    <x v="1"/>
    <x v="1"/>
    <x v="0"/>
    <n v="20"/>
    <x v="2"/>
    <x v="2"/>
  </r>
  <r>
    <n v="3396"/>
    <x v="163"/>
    <x v="1"/>
    <d v="2024-08-09T00:00:00"/>
    <x v="0"/>
    <n v="5"/>
    <s v="Annual"/>
    <x v="1"/>
    <x v="1"/>
    <x v="1"/>
    <n v="0"/>
    <x v="1"/>
    <x v="1"/>
  </r>
  <r>
    <n v="3397"/>
    <x v="90"/>
    <x v="0"/>
    <d v="2024-08-10T00:00:00"/>
    <x v="1"/>
    <n v="15"/>
    <s v="Monthly"/>
    <x v="0"/>
    <x v="0"/>
    <x v="0"/>
    <n v="20"/>
    <x v="7"/>
    <x v="8"/>
  </r>
  <r>
    <n v="3398"/>
    <x v="164"/>
    <x v="2"/>
    <d v="2024-08-11T00:00:00"/>
    <x v="0"/>
    <n v="10"/>
    <s v="Quarterly"/>
    <x v="1"/>
    <x v="1"/>
    <x v="0"/>
    <n v="20"/>
    <x v="6"/>
    <x v="7"/>
  </r>
  <r>
    <n v="3399"/>
    <x v="165"/>
    <x v="1"/>
    <d v="2024-08-12T00:00:00"/>
    <x v="1"/>
    <n v="5"/>
    <s v="Monthly"/>
    <x v="1"/>
    <x v="1"/>
    <x v="1"/>
    <n v="0"/>
    <x v="4"/>
    <x v="4"/>
  </r>
  <r>
    <n v="3400"/>
    <x v="166"/>
    <x v="0"/>
    <d v="2024-08-13T00:00:00"/>
    <x v="0"/>
    <n v="15"/>
    <s v="Annual"/>
    <x v="0"/>
    <x v="0"/>
    <x v="0"/>
    <n v="20"/>
    <x v="0"/>
    <x v="0"/>
  </r>
  <r>
    <n v="3401"/>
    <x v="167"/>
    <x v="2"/>
    <d v="2024-08-14T00:00:00"/>
    <x v="1"/>
    <n v="10"/>
    <s v="Monthly"/>
    <x v="1"/>
    <x v="1"/>
    <x v="0"/>
    <n v="20"/>
    <x v="2"/>
    <x v="2"/>
  </r>
  <r>
    <n v="3402"/>
    <x v="168"/>
    <x v="1"/>
    <d v="2024-08-15T00:00:00"/>
    <x v="0"/>
    <n v="5"/>
    <s v="Quarterly"/>
    <x v="1"/>
    <x v="1"/>
    <x v="1"/>
    <n v="0"/>
    <x v="1"/>
    <x v="1"/>
  </r>
  <r>
    <n v="3403"/>
    <x v="169"/>
    <x v="0"/>
    <d v="2024-08-16T00:00:00"/>
    <x v="1"/>
    <n v="15"/>
    <s v="Monthly"/>
    <x v="0"/>
    <x v="0"/>
    <x v="0"/>
    <n v="20"/>
    <x v="3"/>
    <x v="3"/>
  </r>
  <r>
    <n v="3404"/>
    <x v="170"/>
    <x v="2"/>
    <d v="2024-08-17T00:00:00"/>
    <x v="0"/>
    <n v="10"/>
    <s v="Annual"/>
    <x v="1"/>
    <x v="1"/>
    <x v="0"/>
    <n v="20"/>
    <x v="6"/>
    <x v="7"/>
  </r>
  <r>
    <n v="3405"/>
    <x v="171"/>
    <x v="1"/>
    <d v="2024-08-18T00:00:00"/>
    <x v="1"/>
    <n v="5"/>
    <s v="Monthly"/>
    <x v="1"/>
    <x v="1"/>
    <x v="1"/>
    <n v="0"/>
    <x v="4"/>
    <x v="4"/>
  </r>
  <r>
    <n v="3406"/>
    <x v="172"/>
    <x v="1"/>
    <d v="2024-08-19T00:00:00"/>
    <x v="0"/>
    <n v="5"/>
    <s v="Monthly"/>
    <x v="1"/>
    <x v="1"/>
    <x v="1"/>
    <n v="0"/>
    <x v="1"/>
    <x v="1"/>
  </r>
  <r>
    <n v="3407"/>
    <x v="173"/>
    <x v="0"/>
    <d v="2024-08-20T00:00:00"/>
    <x v="1"/>
    <n v="15"/>
    <s v="Quarterly"/>
    <x v="0"/>
    <x v="0"/>
    <x v="0"/>
    <n v="20"/>
    <x v="10"/>
    <x v="12"/>
  </r>
  <r>
    <n v="3408"/>
    <x v="174"/>
    <x v="2"/>
    <d v="2024-08-21T00:00:00"/>
    <x v="0"/>
    <n v="10"/>
    <s v="Annual"/>
    <x v="1"/>
    <x v="1"/>
    <x v="0"/>
    <n v="20"/>
    <x v="2"/>
    <x v="2"/>
  </r>
  <r>
    <n v="3409"/>
    <x v="175"/>
    <x v="1"/>
    <d v="2024-08-22T00:00:00"/>
    <x v="1"/>
    <n v="5"/>
    <s v="Quarterly"/>
    <x v="1"/>
    <x v="1"/>
    <x v="1"/>
    <n v="0"/>
    <x v="4"/>
    <x v="4"/>
  </r>
  <r>
    <n v="3410"/>
    <x v="176"/>
    <x v="0"/>
    <d v="2024-08-23T00:00:00"/>
    <x v="0"/>
    <n v="15"/>
    <s v="Monthly"/>
    <x v="0"/>
    <x v="0"/>
    <x v="0"/>
    <n v="20"/>
    <x v="6"/>
    <x v="14"/>
  </r>
  <r>
    <n v="3411"/>
    <x v="177"/>
    <x v="2"/>
    <d v="2024-08-24T00:00:00"/>
    <x v="1"/>
    <n v="10"/>
    <s v="Monthly"/>
    <x v="1"/>
    <x v="1"/>
    <x v="0"/>
    <n v="20"/>
    <x v="0"/>
    <x v="13"/>
  </r>
  <r>
    <n v="3412"/>
    <x v="178"/>
    <x v="1"/>
    <d v="2024-08-25T00:00:00"/>
    <x v="0"/>
    <n v="5"/>
    <s v="Annual"/>
    <x v="1"/>
    <x v="1"/>
    <x v="1"/>
    <n v="0"/>
    <x v="1"/>
    <x v="1"/>
  </r>
  <r>
    <n v="3413"/>
    <x v="179"/>
    <x v="0"/>
    <d v="2024-08-26T00:00:00"/>
    <x v="1"/>
    <n v="15"/>
    <s v="Quarterly"/>
    <x v="0"/>
    <x v="0"/>
    <x v="0"/>
    <n v="20"/>
    <x v="7"/>
    <x v="8"/>
  </r>
  <r>
    <n v="3414"/>
    <x v="180"/>
    <x v="2"/>
    <d v="2024-08-27T00:00:00"/>
    <x v="0"/>
    <n v="10"/>
    <s v="Quarterly"/>
    <x v="1"/>
    <x v="1"/>
    <x v="0"/>
    <n v="20"/>
    <x v="9"/>
    <x v="10"/>
  </r>
  <r>
    <n v="3415"/>
    <x v="181"/>
    <x v="1"/>
    <d v="2024-08-28T00:00:00"/>
    <x v="1"/>
    <n v="5"/>
    <s v="Monthly"/>
    <x v="1"/>
    <x v="1"/>
    <x v="1"/>
    <n v="0"/>
    <x v="5"/>
    <x v="11"/>
  </r>
  <r>
    <n v="3416"/>
    <x v="182"/>
    <x v="0"/>
    <d v="2024-08-29T00:00:00"/>
    <x v="0"/>
    <n v="15"/>
    <s v="Annual"/>
    <x v="0"/>
    <x v="0"/>
    <x v="0"/>
    <n v="20"/>
    <x v="0"/>
    <x v="0"/>
  </r>
  <r>
    <n v="3417"/>
    <x v="183"/>
    <x v="2"/>
    <d v="2024-08-30T00:00:00"/>
    <x v="1"/>
    <n v="10"/>
    <s v="Monthly"/>
    <x v="1"/>
    <x v="1"/>
    <x v="0"/>
    <n v="20"/>
    <x v="2"/>
    <x v="2"/>
  </r>
  <r>
    <n v="3418"/>
    <x v="184"/>
    <x v="1"/>
    <d v="2024-08-31T00:00:00"/>
    <x v="0"/>
    <n v="5"/>
    <s v="Quarterly"/>
    <x v="1"/>
    <x v="1"/>
    <x v="1"/>
    <n v="0"/>
    <x v="1"/>
    <x v="1"/>
  </r>
  <r>
    <n v="3419"/>
    <x v="185"/>
    <x v="0"/>
    <d v="2024-09-01T00:00:00"/>
    <x v="1"/>
    <n v="15"/>
    <s v="Monthly"/>
    <x v="0"/>
    <x v="0"/>
    <x v="0"/>
    <n v="20"/>
    <x v="3"/>
    <x v="3"/>
  </r>
  <r>
    <n v="3420"/>
    <x v="186"/>
    <x v="2"/>
    <d v="2024-09-02T00:00:00"/>
    <x v="0"/>
    <n v="10"/>
    <s v="Annual"/>
    <x v="1"/>
    <x v="1"/>
    <x v="0"/>
    <n v="20"/>
    <x v="6"/>
    <x v="7"/>
  </r>
  <r>
    <n v="3421"/>
    <x v="15"/>
    <x v="1"/>
    <d v="2024-09-03T00:00:00"/>
    <x v="1"/>
    <n v="5"/>
    <s v="Monthly"/>
    <x v="1"/>
    <x v="1"/>
    <x v="1"/>
    <n v="0"/>
    <x v="4"/>
    <x v="4"/>
  </r>
  <r>
    <n v="3422"/>
    <x v="187"/>
    <x v="0"/>
    <d v="2024-09-04T00:00:00"/>
    <x v="0"/>
    <n v="15"/>
    <s v="Quarterly"/>
    <x v="0"/>
    <x v="0"/>
    <x v="0"/>
    <n v="20"/>
    <x v="10"/>
    <x v="12"/>
  </r>
  <r>
    <n v="3423"/>
    <x v="188"/>
    <x v="2"/>
    <d v="2024-09-05T00:00:00"/>
    <x v="1"/>
    <n v="10"/>
    <s v="Monthly"/>
    <x v="1"/>
    <x v="1"/>
    <x v="0"/>
    <n v="20"/>
    <x v="2"/>
    <x v="2"/>
  </r>
  <r>
    <n v="3424"/>
    <x v="14"/>
    <x v="1"/>
    <d v="2024-09-06T00:00:00"/>
    <x v="0"/>
    <n v="5"/>
    <s v="Annual"/>
    <x v="1"/>
    <x v="1"/>
    <x v="1"/>
    <n v="0"/>
    <x v="1"/>
    <x v="1"/>
  </r>
  <r>
    <n v="3425"/>
    <x v="189"/>
    <x v="0"/>
    <d v="2024-09-07T00:00:00"/>
    <x v="1"/>
    <n v="15"/>
    <s v="Monthly"/>
    <x v="0"/>
    <x v="0"/>
    <x v="0"/>
    <n v="20"/>
    <x v="7"/>
    <x v="8"/>
  </r>
  <r>
    <n v="3426"/>
    <x v="167"/>
    <x v="2"/>
    <d v="2024-09-08T00:00:00"/>
    <x v="0"/>
    <n v="10"/>
    <s v="Quarterly"/>
    <x v="1"/>
    <x v="1"/>
    <x v="0"/>
    <n v="20"/>
    <x v="6"/>
    <x v="7"/>
  </r>
  <r>
    <n v="3427"/>
    <x v="190"/>
    <x v="1"/>
    <d v="2024-09-09T00:00:00"/>
    <x v="1"/>
    <n v="5"/>
    <s v="Monthly"/>
    <x v="1"/>
    <x v="1"/>
    <x v="1"/>
    <n v="0"/>
    <x v="4"/>
    <x v="4"/>
  </r>
  <r>
    <n v="3428"/>
    <x v="191"/>
    <x v="0"/>
    <d v="2024-09-10T00:00:00"/>
    <x v="0"/>
    <n v="15"/>
    <s v="Annual"/>
    <x v="0"/>
    <x v="0"/>
    <x v="0"/>
    <n v="20"/>
    <x v="3"/>
    <x v="3"/>
  </r>
  <r>
    <n v="3429"/>
    <x v="192"/>
    <x v="2"/>
    <d v="2024-09-11T00:00:00"/>
    <x v="1"/>
    <n v="10"/>
    <s v="Monthly"/>
    <x v="1"/>
    <x v="1"/>
    <x v="0"/>
    <n v="20"/>
    <x v="2"/>
    <x v="2"/>
  </r>
  <r>
    <n v="3430"/>
    <x v="193"/>
    <x v="1"/>
    <d v="2024-09-12T00:00:00"/>
    <x v="0"/>
    <n v="5"/>
    <s v="Quarterly"/>
    <x v="1"/>
    <x v="1"/>
    <x v="1"/>
    <n v="0"/>
    <x v="1"/>
    <x v="1"/>
  </r>
  <r>
    <n v="3431"/>
    <x v="194"/>
    <x v="0"/>
    <d v="2024-09-13T00:00:00"/>
    <x v="1"/>
    <n v="15"/>
    <s v="Monthly"/>
    <x v="0"/>
    <x v="0"/>
    <x v="0"/>
    <n v="20"/>
    <x v="6"/>
    <x v="14"/>
  </r>
  <r>
    <n v="3432"/>
    <x v="195"/>
    <x v="2"/>
    <d v="2024-09-14T00:00:00"/>
    <x v="0"/>
    <n v="10"/>
    <s v="Annual"/>
    <x v="1"/>
    <x v="1"/>
    <x v="0"/>
    <n v="20"/>
    <x v="6"/>
    <x v="7"/>
  </r>
  <r>
    <n v="3433"/>
    <x v="196"/>
    <x v="1"/>
    <d v="2024-09-15T00:00:00"/>
    <x v="1"/>
    <n v="5"/>
    <s v="Monthly"/>
    <x v="1"/>
    <x v="1"/>
    <x v="1"/>
    <n v="0"/>
    <x v="4"/>
    <x v="4"/>
  </r>
  <r>
    <n v="3434"/>
    <x v="197"/>
    <x v="0"/>
    <d v="2024-09-16T00:00:00"/>
    <x v="0"/>
    <n v="15"/>
    <s v="Quarterly"/>
    <x v="0"/>
    <x v="0"/>
    <x v="0"/>
    <n v="20"/>
    <x v="10"/>
    <x v="12"/>
  </r>
  <r>
    <n v="3435"/>
    <x v="198"/>
    <x v="2"/>
    <d v="2024-09-17T00:00:00"/>
    <x v="1"/>
    <n v="10"/>
    <s v="Monthly"/>
    <x v="1"/>
    <x v="1"/>
    <x v="0"/>
    <n v="20"/>
    <x v="2"/>
    <x v="2"/>
  </r>
  <r>
    <n v="3436"/>
    <x v="199"/>
    <x v="1"/>
    <d v="2024-09-18T00:00:00"/>
    <x v="0"/>
    <n v="5"/>
    <s v="Monthly"/>
    <x v="1"/>
    <x v="1"/>
    <x v="1"/>
    <n v="0"/>
    <x v="1"/>
    <x v="1"/>
  </r>
  <r>
    <n v="3437"/>
    <x v="200"/>
    <x v="0"/>
    <d v="2024-09-19T00:00:00"/>
    <x v="1"/>
    <n v="15"/>
    <s v="Quarterly"/>
    <x v="0"/>
    <x v="0"/>
    <x v="0"/>
    <n v="20"/>
    <x v="10"/>
    <x v="12"/>
  </r>
  <r>
    <n v="3438"/>
    <x v="201"/>
    <x v="2"/>
    <d v="2024-09-20T00:00:00"/>
    <x v="0"/>
    <n v="10"/>
    <s v="Annual"/>
    <x v="1"/>
    <x v="1"/>
    <x v="0"/>
    <n v="20"/>
    <x v="2"/>
    <x v="2"/>
  </r>
  <r>
    <n v="3439"/>
    <x v="202"/>
    <x v="1"/>
    <d v="2024-09-21T00:00:00"/>
    <x v="1"/>
    <n v="5"/>
    <s v="Quarterly"/>
    <x v="1"/>
    <x v="1"/>
    <x v="1"/>
    <n v="0"/>
    <x v="4"/>
    <x v="4"/>
  </r>
  <r>
    <n v="3440"/>
    <x v="203"/>
    <x v="0"/>
    <d v="2024-09-22T00:00:00"/>
    <x v="0"/>
    <n v="15"/>
    <s v="Monthly"/>
    <x v="0"/>
    <x v="0"/>
    <x v="0"/>
    <n v="20"/>
    <x v="6"/>
    <x v="14"/>
  </r>
  <r>
    <n v="3441"/>
    <x v="204"/>
    <x v="2"/>
    <d v="2024-09-23T00:00:00"/>
    <x v="1"/>
    <n v="10"/>
    <s v="Monthly"/>
    <x v="1"/>
    <x v="1"/>
    <x v="0"/>
    <n v="20"/>
    <x v="0"/>
    <x v="13"/>
  </r>
  <r>
    <n v="3442"/>
    <x v="205"/>
    <x v="1"/>
    <d v="2024-09-24T00:00:00"/>
    <x v="0"/>
    <n v="5"/>
    <s v="Annual"/>
    <x v="1"/>
    <x v="1"/>
    <x v="1"/>
    <n v="0"/>
    <x v="1"/>
    <x v="1"/>
  </r>
  <r>
    <n v="3443"/>
    <x v="206"/>
    <x v="0"/>
    <d v="2024-09-25T00:00:00"/>
    <x v="1"/>
    <n v="15"/>
    <s v="Quarterly"/>
    <x v="0"/>
    <x v="0"/>
    <x v="0"/>
    <n v="20"/>
    <x v="7"/>
    <x v="8"/>
  </r>
  <r>
    <n v="3444"/>
    <x v="207"/>
    <x v="2"/>
    <d v="2024-09-26T00:00:00"/>
    <x v="0"/>
    <n v="10"/>
    <s v="Quarterly"/>
    <x v="1"/>
    <x v="1"/>
    <x v="0"/>
    <n v="20"/>
    <x v="9"/>
    <x v="10"/>
  </r>
  <r>
    <n v="3445"/>
    <x v="37"/>
    <x v="1"/>
    <d v="2024-09-27T00:00:00"/>
    <x v="1"/>
    <n v="5"/>
    <s v="Monthly"/>
    <x v="1"/>
    <x v="1"/>
    <x v="1"/>
    <n v="0"/>
    <x v="5"/>
    <x v="11"/>
  </r>
  <r>
    <n v="3446"/>
    <x v="208"/>
    <x v="0"/>
    <d v="2024-09-28T00:00:00"/>
    <x v="0"/>
    <n v="15"/>
    <s v="Annual"/>
    <x v="0"/>
    <x v="0"/>
    <x v="0"/>
    <n v="20"/>
    <x v="0"/>
    <x v="0"/>
  </r>
  <r>
    <n v="3447"/>
    <x v="209"/>
    <x v="2"/>
    <d v="2024-09-29T00:00:00"/>
    <x v="1"/>
    <n v="10"/>
    <s v="Monthly"/>
    <x v="1"/>
    <x v="1"/>
    <x v="0"/>
    <n v="20"/>
    <x v="2"/>
    <x v="2"/>
  </r>
  <r>
    <n v="3448"/>
    <x v="210"/>
    <x v="1"/>
    <d v="2024-09-30T00:00:00"/>
    <x v="0"/>
    <n v="5"/>
    <s v="Quarterly"/>
    <x v="1"/>
    <x v="1"/>
    <x v="1"/>
    <n v="0"/>
    <x v="1"/>
    <x v="1"/>
  </r>
  <r>
    <n v="3449"/>
    <x v="211"/>
    <x v="0"/>
    <d v="2024-10-01T00:00:00"/>
    <x v="1"/>
    <n v="15"/>
    <s v="Monthly"/>
    <x v="0"/>
    <x v="0"/>
    <x v="0"/>
    <n v="20"/>
    <x v="3"/>
    <x v="3"/>
  </r>
  <r>
    <n v="3450"/>
    <x v="212"/>
    <x v="2"/>
    <d v="2024-10-02T00:00:00"/>
    <x v="0"/>
    <n v="10"/>
    <s v="Annual"/>
    <x v="1"/>
    <x v="1"/>
    <x v="0"/>
    <n v="20"/>
    <x v="6"/>
    <x v="7"/>
  </r>
  <r>
    <n v="3451"/>
    <x v="213"/>
    <x v="1"/>
    <d v="2024-10-03T00:00:00"/>
    <x v="1"/>
    <n v="5"/>
    <s v="Monthly"/>
    <x v="1"/>
    <x v="1"/>
    <x v="1"/>
    <n v="0"/>
    <x v="4"/>
    <x v="4"/>
  </r>
  <r>
    <n v="3452"/>
    <x v="191"/>
    <x v="0"/>
    <d v="2024-10-04T00:00:00"/>
    <x v="0"/>
    <n v="15"/>
    <s v="Quarterly"/>
    <x v="0"/>
    <x v="0"/>
    <x v="0"/>
    <n v="20"/>
    <x v="10"/>
    <x v="12"/>
  </r>
  <r>
    <n v="3453"/>
    <x v="45"/>
    <x v="2"/>
    <d v="2024-10-05T00:00:00"/>
    <x v="1"/>
    <n v="10"/>
    <s v="Monthly"/>
    <x v="1"/>
    <x v="1"/>
    <x v="0"/>
    <n v="20"/>
    <x v="2"/>
    <x v="2"/>
  </r>
  <r>
    <n v="3454"/>
    <x v="214"/>
    <x v="1"/>
    <d v="2024-10-06T00:00:00"/>
    <x v="0"/>
    <n v="5"/>
    <s v="Annual"/>
    <x v="1"/>
    <x v="1"/>
    <x v="1"/>
    <n v="0"/>
    <x v="1"/>
    <x v="1"/>
  </r>
  <r>
    <n v="3455"/>
    <x v="215"/>
    <x v="0"/>
    <d v="2024-10-07T00:00:00"/>
    <x v="1"/>
    <n v="15"/>
    <s v="Monthly"/>
    <x v="0"/>
    <x v="0"/>
    <x v="0"/>
    <n v="20"/>
    <x v="7"/>
    <x v="8"/>
  </r>
  <r>
    <n v="3456"/>
    <x v="216"/>
    <x v="2"/>
    <d v="2024-10-08T00:00:00"/>
    <x v="0"/>
    <n v="10"/>
    <s v="Quarterly"/>
    <x v="1"/>
    <x v="1"/>
    <x v="0"/>
    <n v="20"/>
    <x v="6"/>
    <x v="7"/>
  </r>
  <r>
    <n v="3457"/>
    <x v="217"/>
    <x v="1"/>
    <d v="2024-10-09T00:00:00"/>
    <x v="1"/>
    <n v="5"/>
    <s v="Monthly"/>
    <x v="1"/>
    <x v="1"/>
    <x v="1"/>
    <n v="0"/>
    <x v="4"/>
    <x v="4"/>
  </r>
  <r>
    <n v="3458"/>
    <x v="218"/>
    <x v="0"/>
    <d v="2024-10-10T00:00:00"/>
    <x v="0"/>
    <n v="15"/>
    <s v="Annual"/>
    <x v="0"/>
    <x v="0"/>
    <x v="0"/>
    <n v="20"/>
    <x v="3"/>
    <x v="3"/>
  </r>
  <r>
    <n v="3459"/>
    <x v="219"/>
    <x v="2"/>
    <d v="2024-10-11T00:00:00"/>
    <x v="1"/>
    <n v="10"/>
    <s v="Monthly"/>
    <x v="1"/>
    <x v="1"/>
    <x v="0"/>
    <n v="20"/>
    <x v="2"/>
    <x v="2"/>
  </r>
  <r>
    <n v="3460"/>
    <x v="127"/>
    <x v="1"/>
    <d v="2024-10-12T00:00:00"/>
    <x v="0"/>
    <n v="5"/>
    <s v="Quarterly"/>
    <x v="1"/>
    <x v="1"/>
    <x v="1"/>
    <n v="0"/>
    <x v="1"/>
    <x v="1"/>
  </r>
  <r>
    <n v="3461"/>
    <x v="220"/>
    <x v="0"/>
    <d v="2024-10-13T00:00:00"/>
    <x v="1"/>
    <n v="15"/>
    <s v="Monthly"/>
    <x v="0"/>
    <x v="0"/>
    <x v="0"/>
    <n v="20"/>
    <x v="6"/>
    <x v="14"/>
  </r>
  <r>
    <n v="3462"/>
    <x v="221"/>
    <x v="2"/>
    <d v="2024-10-14T00:00:00"/>
    <x v="0"/>
    <n v="10"/>
    <s v="Annual"/>
    <x v="1"/>
    <x v="1"/>
    <x v="0"/>
    <n v="20"/>
    <x v="6"/>
    <x v="7"/>
  </r>
  <r>
    <n v="3463"/>
    <x v="222"/>
    <x v="1"/>
    <d v="2024-10-15T00:00:00"/>
    <x v="1"/>
    <n v="5"/>
    <s v="Monthly"/>
    <x v="1"/>
    <x v="1"/>
    <x v="1"/>
    <n v="0"/>
    <x v="4"/>
    <x v="4"/>
  </r>
  <r>
    <n v="3464"/>
    <x v="223"/>
    <x v="0"/>
    <d v="2024-10-16T00:00:00"/>
    <x v="0"/>
    <n v="15"/>
    <s v="Quarterly"/>
    <x v="0"/>
    <x v="0"/>
    <x v="0"/>
    <n v="20"/>
    <x v="10"/>
    <x v="12"/>
  </r>
  <r>
    <n v="3465"/>
    <x v="224"/>
    <x v="2"/>
    <d v="2024-10-17T00:00:00"/>
    <x v="1"/>
    <n v="10"/>
    <s v="Monthly"/>
    <x v="1"/>
    <x v="1"/>
    <x v="0"/>
    <n v="20"/>
    <x v="2"/>
    <x v="2"/>
  </r>
  <r>
    <n v="3466"/>
    <x v="225"/>
    <x v="1"/>
    <d v="2024-10-18T00:00:00"/>
    <x v="0"/>
    <n v="5"/>
    <s v="Annual"/>
    <x v="1"/>
    <x v="1"/>
    <x v="1"/>
    <n v="0"/>
    <x v="1"/>
    <x v="1"/>
  </r>
  <r>
    <n v="3467"/>
    <x v="226"/>
    <x v="0"/>
    <d v="2024-10-19T00:00:00"/>
    <x v="1"/>
    <n v="15"/>
    <s v="Monthly"/>
    <x v="0"/>
    <x v="0"/>
    <x v="0"/>
    <n v="20"/>
    <x v="6"/>
    <x v="14"/>
  </r>
  <r>
    <n v="3468"/>
    <x v="227"/>
    <x v="2"/>
    <d v="2024-10-20T00:00:00"/>
    <x v="0"/>
    <n v="10"/>
    <s v="Quarterly"/>
    <x v="1"/>
    <x v="1"/>
    <x v="0"/>
    <n v="20"/>
    <x v="9"/>
    <x v="10"/>
  </r>
  <r>
    <n v="3469"/>
    <x v="228"/>
    <x v="1"/>
    <d v="2024-10-21T00:00:00"/>
    <x v="1"/>
    <n v="5"/>
    <s v="Monthly"/>
    <x v="1"/>
    <x v="1"/>
    <x v="1"/>
    <n v="0"/>
    <x v="5"/>
    <x v="11"/>
  </r>
  <r>
    <n v="3470"/>
    <x v="229"/>
    <x v="0"/>
    <d v="2024-10-22T00:00:00"/>
    <x v="0"/>
    <n v="15"/>
    <s v="Annual"/>
    <x v="0"/>
    <x v="0"/>
    <x v="0"/>
    <n v="20"/>
    <x v="0"/>
    <x v="0"/>
  </r>
  <r>
    <n v="3471"/>
    <x v="230"/>
    <x v="2"/>
    <d v="2024-10-23T00:00:00"/>
    <x v="1"/>
    <n v="10"/>
    <s v="Monthly"/>
    <x v="1"/>
    <x v="1"/>
    <x v="0"/>
    <n v="20"/>
    <x v="2"/>
    <x v="2"/>
  </r>
  <r>
    <n v="3472"/>
    <x v="231"/>
    <x v="1"/>
    <d v="2024-10-24T00:00:00"/>
    <x v="0"/>
    <n v="5"/>
    <s v="Quarterly"/>
    <x v="1"/>
    <x v="1"/>
    <x v="1"/>
    <n v="0"/>
    <x v="1"/>
    <x v="1"/>
  </r>
  <r>
    <n v="3473"/>
    <x v="140"/>
    <x v="0"/>
    <d v="2024-10-25T00:00:00"/>
    <x v="1"/>
    <n v="15"/>
    <s v="Monthly"/>
    <x v="0"/>
    <x v="0"/>
    <x v="0"/>
    <n v="20"/>
    <x v="3"/>
    <x v="3"/>
  </r>
  <r>
    <n v="3474"/>
    <x v="232"/>
    <x v="2"/>
    <d v="2024-10-26T00:00:00"/>
    <x v="0"/>
    <n v="10"/>
    <s v="Annual"/>
    <x v="1"/>
    <x v="1"/>
    <x v="0"/>
    <n v="20"/>
    <x v="6"/>
    <x v="7"/>
  </r>
  <r>
    <n v="3475"/>
    <x v="233"/>
    <x v="1"/>
    <d v="2024-10-27T00:00:00"/>
    <x v="1"/>
    <n v="5"/>
    <s v="Monthly"/>
    <x v="1"/>
    <x v="1"/>
    <x v="1"/>
    <n v="0"/>
    <x v="4"/>
    <x v="4"/>
  </r>
  <r>
    <n v="3476"/>
    <x v="234"/>
    <x v="0"/>
    <d v="2024-10-28T00:00:00"/>
    <x v="0"/>
    <n v="15"/>
    <s v="Quarterly"/>
    <x v="0"/>
    <x v="0"/>
    <x v="0"/>
    <n v="20"/>
    <x v="10"/>
    <x v="12"/>
  </r>
  <r>
    <n v="3477"/>
    <x v="235"/>
    <x v="2"/>
    <d v="2024-10-29T00:00:00"/>
    <x v="1"/>
    <n v="10"/>
    <s v="Monthly"/>
    <x v="1"/>
    <x v="1"/>
    <x v="0"/>
    <n v="20"/>
    <x v="2"/>
    <x v="2"/>
  </r>
  <r>
    <n v="3478"/>
    <x v="236"/>
    <x v="1"/>
    <d v="2024-10-30T00:00:00"/>
    <x v="0"/>
    <n v="5"/>
    <s v="Annual"/>
    <x v="1"/>
    <x v="1"/>
    <x v="1"/>
    <n v="0"/>
    <x v="1"/>
    <x v="1"/>
  </r>
  <r>
    <n v="3479"/>
    <x v="237"/>
    <x v="0"/>
    <d v="2024-10-31T00:00:00"/>
    <x v="1"/>
    <n v="15"/>
    <s v="Monthly"/>
    <x v="0"/>
    <x v="0"/>
    <x v="0"/>
    <n v="20"/>
    <x v="7"/>
    <x v="8"/>
  </r>
  <r>
    <n v="3480"/>
    <x v="238"/>
    <x v="2"/>
    <d v="2024-11-01T00:00:00"/>
    <x v="0"/>
    <n v="10"/>
    <s v="Quarterly"/>
    <x v="1"/>
    <x v="1"/>
    <x v="0"/>
    <n v="20"/>
    <x v="6"/>
    <x v="7"/>
  </r>
  <r>
    <n v="3481"/>
    <x v="239"/>
    <x v="1"/>
    <d v="2024-11-02T00:00:00"/>
    <x v="1"/>
    <n v="5"/>
    <s v="Monthly"/>
    <x v="1"/>
    <x v="1"/>
    <x v="1"/>
    <n v="0"/>
    <x v="4"/>
    <x v="4"/>
  </r>
  <r>
    <n v="3482"/>
    <x v="240"/>
    <x v="0"/>
    <d v="2024-11-03T00:00:00"/>
    <x v="0"/>
    <n v="15"/>
    <s v="Annual"/>
    <x v="0"/>
    <x v="0"/>
    <x v="0"/>
    <n v="20"/>
    <x v="3"/>
    <x v="3"/>
  </r>
  <r>
    <n v="3483"/>
    <x v="241"/>
    <x v="2"/>
    <d v="2024-11-04T00:00:00"/>
    <x v="1"/>
    <n v="10"/>
    <s v="Monthly"/>
    <x v="1"/>
    <x v="1"/>
    <x v="0"/>
    <n v="20"/>
    <x v="2"/>
    <x v="2"/>
  </r>
  <r>
    <n v="3484"/>
    <x v="242"/>
    <x v="1"/>
    <d v="2024-11-05T00:00:00"/>
    <x v="0"/>
    <n v="5"/>
    <s v="Quarterly"/>
    <x v="1"/>
    <x v="1"/>
    <x v="1"/>
    <n v="0"/>
    <x v="1"/>
    <x v="1"/>
  </r>
  <r>
    <n v="3485"/>
    <x v="243"/>
    <x v="0"/>
    <d v="2024-11-06T00:00:00"/>
    <x v="1"/>
    <n v="15"/>
    <s v="Monthly"/>
    <x v="0"/>
    <x v="0"/>
    <x v="0"/>
    <n v="20"/>
    <x v="6"/>
    <x v="14"/>
  </r>
  <r>
    <n v="3486"/>
    <x v="244"/>
    <x v="1"/>
    <d v="2024-11-07T00:00:00"/>
    <x v="0"/>
    <n v="5"/>
    <s v="Monthly"/>
    <x v="1"/>
    <x v="1"/>
    <x v="1"/>
    <n v="0"/>
    <x v="1"/>
    <x v="1"/>
  </r>
  <r>
    <n v="3487"/>
    <x v="245"/>
    <x v="0"/>
    <d v="2024-11-08T00:00:00"/>
    <x v="1"/>
    <n v="15"/>
    <s v="Quarterly"/>
    <x v="0"/>
    <x v="0"/>
    <x v="0"/>
    <n v="20"/>
    <x v="10"/>
    <x v="12"/>
  </r>
  <r>
    <n v="3488"/>
    <x v="246"/>
    <x v="2"/>
    <d v="2024-11-09T00:00:00"/>
    <x v="0"/>
    <n v="10"/>
    <s v="Annual"/>
    <x v="1"/>
    <x v="1"/>
    <x v="0"/>
    <n v="20"/>
    <x v="2"/>
    <x v="2"/>
  </r>
  <r>
    <n v="3489"/>
    <x v="247"/>
    <x v="1"/>
    <d v="2024-11-10T00:00:00"/>
    <x v="1"/>
    <n v="5"/>
    <s v="Quarterly"/>
    <x v="1"/>
    <x v="1"/>
    <x v="1"/>
    <n v="0"/>
    <x v="4"/>
    <x v="4"/>
  </r>
  <r>
    <n v="3490"/>
    <x v="248"/>
    <x v="0"/>
    <d v="2024-11-11T00:00:00"/>
    <x v="0"/>
    <n v="15"/>
    <s v="Monthly"/>
    <x v="0"/>
    <x v="0"/>
    <x v="0"/>
    <n v="20"/>
    <x v="6"/>
    <x v="14"/>
  </r>
  <r>
    <n v="3491"/>
    <x v="249"/>
    <x v="2"/>
    <d v="2024-11-12T00:00:00"/>
    <x v="1"/>
    <n v="10"/>
    <s v="Monthly"/>
    <x v="1"/>
    <x v="1"/>
    <x v="0"/>
    <n v="20"/>
    <x v="0"/>
    <x v="13"/>
  </r>
  <r>
    <n v="3492"/>
    <x v="250"/>
    <x v="1"/>
    <d v="2024-11-13T00:00:00"/>
    <x v="0"/>
    <n v="5"/>
    <s v="Annual"/>
    <x v="1"/>
    <x v="1"/>
    <x v="1"/>
    <n v="0"/>
    <x v="1"/>
    <x v="1"/>
  </r>
  <r>
    <n v="3493"/>
    <x v="251"/>
    <x v="0"/>
    <d v="2024-11-14T00:00:00"/>
    <x v="1"/>
    <n v="15"/>
    <s v="Quarterly"/>
    <x v="0"/>
    <x v="0"/>
    <x v="0"/>
    <n v="20"/>
    <x v="7"/>
    <x v="8"/>
  </r>
  <r>
    <n v="3494"/>
    <x v="252"/>
    <x v="2"/>
    <d v="2024-11-15T00:00:00"/>
    <x v="0"/>
    <n v="10"/>
    <s v="Quarterly"/>
    <x v="1"/>
    <x v="1"/>
    <x v="0"/>
    <n v="20"/>
    <x v="9"/>
    <x v="10"/>
  </r>
  <r>
    <n v="3495"/>
    <x v="253"/>
    <x v="1"/>
    <d v="2024-11-16T00:00:00"/>
    <x v="1"/>
    <n v="5"/>
    <s v="Monthly"/>
    <x v="1"/>
    <x v="1"/>
    <x v="1"/>
    <n v="0"/>
    <x v="5"/>
    <x v="11"/>
  </r>
  <r>
    <n v="3496"/>
    <x v="254"/>
    <x v="0"/>
    <d v="2024-11-17T00:00:00"/>
    <x v="0"/>
    <n v="15"/>
    <s v="Annual"/>
    <x v="0"/>
    <x v="0"/>
    <x v="0"/>
    <n v="20"/>
    <x v="0"/>
    <x v="0"/>
  </r>
  <r>
    <n v="3497"/>
    <x v="255"/>
    <x v="2"/>
    <d v="2024-11-18T00:00:00"/>
    <x v="1"/>
    <n v="10"/>
    <s v="Monthly"/>
    <x v="1"/>
    <x v="1"/>
    <x v="0"/>
    <n v="20"/>
    <x v="2"/>
    <x v="2"/>
  </r>
  <r>
    <n v="3498"/>
    <x v="256"/>
    <x v="1"/>
    <d v="2024-11-19T00:00:00"/>
    <x v="0"/>
    <n v="5"/>
    <s v="Quarterly"/>
    <x v="1"/>
    <x v="1"/>
    <x v="1"/>
    <n v="0"/>
    <x v="1"/>
    <x v="1"/>
  </r>
  <r>
    <n v="3499"/>
    <x v="257"/>
    <x v="0"/>
    <d v="2024-11-20T00:00:00"/>
    <x v="1"/>
    <n v="15"/>
    <s v="Monthly"/>
    <x v="0"/>
    <x v="0"/>
    <x v="0"/>
    <n v="20"/>
    <x v="3"/>
    <x v="3"/>
  </r>
  <r>
    <n v="3500"/>
    <x v="258"/>
    <x v="2"/>
    <d v="2024-11-21T00:00:00"/>
    <x v="0"/>
    <n v="10"/>
    <s v="Annual"/>
    <x v="1"/>
    <x v="1"/>
    <x v="0"/>
    <n v="20"/>
    <x v="6"/>
    <x v="7"/>
  </r>
  <r>
    <n v="3501"/>
    <x v="259"/>
    <x v="1"/>
    <d v="2024-11-22T00:00:00"/>
    <x v="1"/>
    <n v="5"/>
    <s v="Monthly"/>
    <x v="1"/>
    <x v="1"/>
    <x v="1"/>
    <n v="0"/>
    <x v="4"/>
    <x v="4"/>
  </r>
  <r>
    <n v="3502"/>
    <x v="260"/>
    <x v="0"/>
    <d v="2024-11-23T00:00:00"/>
    <x v="0"/>
    <n v="15"/>
    <s v="Quarterly"/>
    <x v="0"/>
    <x v="0"/>
    <x v="0"/>
    <n v="20"/>
    <x v="10"/>
    <x v="12"/>
  </r>
  <r>
    <n v="3503"/>
    <x v="119"/>
    <x v="2"/>
    <d v="2024-11-24T00:00:00"/>
    <x v="1"/>
    <n v="10"/>
    <s v="Monthly"/>
    <x v="1"/>
    <x v="1"/>
    <x v="0"/>
    <n v="20"/>
    <x v="2"/>
    <x v="2"/>
  </r>
  <r>
    <n v="3504"/>
    <x v="261"/>
    <x v="1"/>
    <d v="2024-11-25T00:00:00"/>
    <x v="0"/>
    <n v="5"/>
    <s v="Annual"/>
    <x v="1"/>
    <x v="1"/>
    <x v="1"/>
    <n v="0"/>
    <x v="1"/>
    <x v="1"/>
  </r>
  <r>
    <n v="3505"/>
    <x v="262"/>
    <x v="0"/>
    <d v="2024-11-26T00:00:00"/>
    <x v="1"/>
    <n v="15"/>
    <s v="Monthly"/>
    <x v="0"/>
    <x v="0"/>
    <x v="0"/>
    <n v="20"/>
    <x v="7"/>
    <x v="8"/>
  </r>
  <r>
    <n v="3506"/>
    <x v="263"/>
    <x v="2"/>
    <d v="2024-11-27T00:00:00"/>
    <x v="0"/>
    <n v="10"/>
    <s v="Quarterly"/>
    <x v="1"/>
    <x v="1"/>
    <x v="0"/>
    <n v="20"/>
    <x v="6"/>
    <x v="7"/>
  </r>
  <r>
    <n v="3507"/>
    <x v="264"/>
    <x v="1"/>
    <d v="2024-11-28T00:00:00"/>
    <x v="1"/>
    <n v="5"/>
    <s v="Monthly"/>
    <x v="1"/>
    <x v="1"/>
    <x v="1"/>
    <n v="0"/>
    <x v="4"/>
    <x v="4"/>
  </r>
  <r>
    <n v="3508"/>
    <x v="265"/>
    <x v="0"/>
    <d v="2024-11-29T00:00:00"/>
    <x v="0"/>
    <n v="15"/>
    <s v="Annual"/>
    <x v="0"/>
    <x v="0"/>
    <x v="0"/>
    <n v="20"/>
    <x v="3"/>
    <x v="3"/>
  </r>
  <r>
    <n v="3509"/>
    <x v="266"/>
    <x v="2"/>
    <d v="2024-11-30T00:00:00"/>
    <x v="1"/>
    <n v="10"/>
    <s v="Monthly"/>
    <x v="1"/>
    <x v="1"/>
    <x v="0"/>
    <n v="20"/>
    <x v="2"/>
    <x v="2"/>
  </r>
  <r>
    <n v="3510"/>
    <x v="267"/>
    <x v="1"/>
    <d v="2024-12-01T00:00:00"/>
    <x v="0"/>
    <n v="5"/>
    <s v="Quarterly"/>
    <x v="1"/>
    <x v="1"/>
    <x v="1"/>
    <n v="0"/>
    <x v="1"/>
    <x v="1"/>
  </r>
  <r>
    <n v="3511"/>
    <x v="268"/>
    <x v="0"/>
    <d v="2024-12-02T00:00:00"/>
    <x v="1"/>
    <n v="15"/>
    <s v="Monthly"/>
    <x v="0"/>
    <x v="0"/>
    <x v="0"/>
    <n v="20"/>
    <x v="6"/>
    <x v="14"/>
  </r>
  <r>
    <n v="3512"/>
    <x v="269"/>
    <x v="2"/>
    <d v="2024-12-03T00:00:00"/>
    <x v="0"/>
    <n v="10"/>
    <s v="Annual"/>
    <x v="1"/>
    <x v="1"/>
    <x v="0"/>
    <n v="20"/>
    <x v="6"/>
    <x v="7"/>
  </r>
  <r>
    <n v="3513"/>
    <x v="270"/>
    <x v="1"/>
    <d v="2024-12-04T00:00:00"/>
    <x v="1"/>
    <n v="5"/>
    <s v="Monthly"/>
    <x v="1"/>
    <x v="1"/>
    <x v="1"/>
    <n v="0"/>
    <x v="4"/>
    <x v="4"/>
  </r>
  <r>
    <n v="3514"/>
    <x v="271"/>
    <x v="0"/>
    <d v="2024-12-05T00:00:00"/>
    <x v="0"/>
    <n v="15"/>
    <s v="Quarterly"/>
    <x v="0"/>
    <x v="0"/>
    <x v="0"/>
    <n v="20"/>
    <x v="10"/>
    <x v="12"/>
  </r>
  <r>
    <n v="3515"/>
    <x v="130"/>
    <x v="2"/>
    <d v="2024-12-06T00:00:00"/>
    <x v="1"/>
    <n v="10"/>
    <s v="Monthly"/>
    <x v="1"/>
    <x v="1"/>
    <x v="0"/>
    <n v="20"/>
    <x v="2"/>
    <x v="2"/>
  </r>
  <r>
    <n v="3516"/>
    <x v="131"/>
    <x v="1"/>
    <d v="2024-12-07T00:00:00"/>
    <x v="0"/>
    <n v="5"/>
    <s v="Annual"/>
    <x v="1"/>
    <x v="1"/>
    <x v="1"/>
    <n v="0"/>
    <x v="1"/>
    <x v="1"/>
  </r>
  <r>
    <n v="3517"/>
    <x v="181"/>
    <x v="0"/>
    <d v="2024-12-08T00:00:00"/>
    <x v="1"/>
    <n v="15"/>
    <s v="Monthly"/>
    <x v="0"/>
    <x v="0"/>
    <x v="0"/>
    <n v="20"/>
    <x v="7"/>
    <x v="8"/>
  </r>
  <r>
    <n v="3518"/>
    <x v="272"/>
    <x v="2"/>
    <d v="2024-12-09T00:00:00"/>
    <x v="0"/>
    <n v="10"/>
    <s v="Quarterly"/>
    <x v="1"/>
    <x v="1"/>
    <x v="0"/>
    <n v="20"/>
    <x v="9"/>
    <x v="10"/>
  </r>
  <r>
    <n v="3519"/>
    <x v="273"/>
    <x v="1"/>
    <d v="2024-12-10T00:00:00"/>
    <x v="1"/>
    <n v="5"/>
    <s v="Monthly"/>
    <x v="1"/>
    <x v="1"/>
    <x v="1"/>
    <n v="0"/>
    <x v="5"/>
    <x v="11"/>
  </r>
  <r>
    <n v="3520"/>
    <x v="274"/>
    <x v="0"/>
    <d v="2024-12-11T00:00:00"/>
    <x v="0"/>
    <n v="15"/>
    <s v="Annual"/>
    <x v="0"/>
    <x v="0"/>
    <x v="0"/>
    <n v="20"/>
    <x v="0"/>
    <x v="0"/>
  </r>
  <r>
    <n v="3521"/>
    <x v="275"/>
    <x v="2"/>
    <d v="2024-12-12T00:00:00"/>
    <x v="1"/>
    <n v="10"/>
    <s v="Monthly"/>
    <x v="1"/>
    <x v="1"/>
    <x v="0"/>
    <n v="20"/>
    <x v="2"/>
    <x v="2"/>
  </r>
  <r>
    <n v="3522"/>
    <x v="276"/>
    <x v="1"/>
    <d v="2024-12-13T00:00:00"/>
    <x v="0"/>
    <n v="5"/>
    <s v="Quarterly"/>
    <x v="1"/>
    <x v="1"/>
    <x v="1"/>
    <n v="0"/>
    <x v="1"/>
    <x v="1"/>
  </r>
  <r>
    <n v="3523"/>
    <x v="277"/>
    <x v="0"/>
    <d v="2024-12-14T00:00:00"/>
    <x v="1"/>
    <n v="15"/>
    <s v="Monthly"/>
    <x v="0"/>
    <x v="0"/>
    <x v="0"/>
    <n v="20"/>
    <x v="3"/>
    <x v="3"/>
  </r>
  <r>
    <n v="3524"/>
    <x v="278"/>
    <x v="2"/>
    <d v="2024-12-15T00:00:00"/>
    <x v="0"/>
    <n v="10"/>
    <s v="Annual"/>
    <x v="1"/>
    <x v="1"/>
    <x v="0"/>
    <n v="20"/>
    <x v="6"/>
    <x v="7"/>
  </r>
  <r>
    <n v="3525"/>
    <x v="279"/>
    <x v="1"/>
    <d v="2024-12-16T00:00:00"/>
    <x v="1"/>
    <n v="5"/>
    <s v="Monthly"/>
    <x v="1"/>
    <x v="1"/>
    <x v="1"/>
    <n v="0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A03DB4-E9FF-4115-9D8A-7CEB45F6C8CE}" name="Tabela dinâmica6" cacheId="13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Plans" colHeaderCaption="No / Yes">
  <location ref="O2:P21" firstHeaderRow="1" firstDataRow="1" firstDataCol="1"/>
  <pivotFields count="13"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axis="axisRow"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numFmtId="44" showAll="0"/>
  </pivotFields>
  <rowFields count="2">
    <field x="2"/>
    <field x="11"/>
  </rowFields>
  <rowItems count="19">
    <i>
      <x/>
    </i>
    <i r="1">
      <x/>
    </i>
    <i r="1">
      <x v="1"/>
    </i>
    <i r="1">
      <x v="2"/>
    </i>
    <i>
      <x v="1"/>
    </i>
    <i r="1">
      <x v="2"/>
    </i>
    <i r="1">
      <x v="4"/>
    </i>
    <i r="1">
      <x v="7"/>
    </i>
    <i r="1">
      <x v="8"/>
    </i>
    <i r="1">
      <x v="9"/>
    </i>
    <i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t="grand">
      <x/>
    </i>
  </rowItems>
  <colItems count="1">
    <i/>
  </colItems>
  <dataFields count="1">
    <dataField name="Count plans" fld="2" subtotal="count" baseField="0" baseItem="0"/>
  </dataFields>
  <formats count="8">
    <format dxfId="857">
      <pivotArea type="origin" dataOnly="0" labelOnly="1" outline="0" fieldPosition="0"/>
    </format>
    <format dxfId="858">
      <pivotArea field="9" type="button" dataOnly="0" labelOnly="1" outline="0"/>
    </format>
    <format dxfId="859">
      <pivotArea grandCol="1" outline="0" collapsedLevelsAreSubtotals="1" fieldPosition="0"/>
    </format>
    <format dxfId="856">
      <pivotArea outline="0" collapsedLevelsAreSubtotals="1" fieldPosition="0"/>
    </format>
    <format dxfId="855">
      <pivotArea field="2" type="button" dataOnly="0" labelOnly="1" outline="0" axis="axisRow" fieldPosition="0"/>
    </format>
    <format dxfId="854">
      <pivotArea dataOnly="0" labelOnly="1" fieldPosition="0">
        <references count="1">
          <reference field="2" count="0"/>
        </references>
      </pivotArea>
    </format>
    <format dxfId="853">
      <pivotArea dataOnly="0" labelOnly="1" grandRow="1" outline="0" fieldPosition="0"/>
    </format>
    <format dxfId="85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8C8CA8-92BE-4D22-AFB2-8B0328A4B59F}" name="How many people renewal_x0009__x0009__x0009_" cacheId="13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4" rowHeaderCaption="Plans" colHeaderCaption="No/Yes">
  <location ref="J2:M7" firstHeaderRow="1" firstDataRow="2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dataField="1" showAll="0">
      <items count="4">
        <item x="1"/>
        <item x="2"/>
        <item x="0"/>
        <item t="default"/>
      </items>
    </pivotField>
    <pivotField numFmtId="14" showAll="0"/>
    <pivotField axis="axisCol" showAll="0">
      <items count="3">
        <item x="1"/>
        <item x="0"/>
        <item t="default"/>
      </items>
    </pivotField>
    <pivotField numFmtId="44" showAll="0"/>
    <pivotField showAll="0"/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>
      <items count="16">
        <item sd="0" x="11"/>
        <item sd="0"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plans" fld="2" subtotal="count" baseField="0" baseItem="0"/>
  </dataFields>
  <formats count="10">
    <format dxfId="96">
      <pivotArea type="all" dataOnly="0" outline="0" fieldPosition="0"/>
    </format>
    <format dxfId="97">
      <pivotArea outline="0" collapsedLevelsAreSubtotals="1" fieldPosition="0"/>
    </format>
    <format dxfId="98">
      <pivotArea type="origin" dataOnly="0" labelOnly="1" outline="0" fieldPosition="0"/>
    </format>
    <format dxfId="99">
      <pivotArea field="4" type="button" dataOnly="0" labelOnly="1" outline="0" axis="axisCol" fieldPosition="0"/>
    </format>
    <format dxfId="100">
      <pivotArea type="topRight" dataOnly="0" labelOnly="1" outline="0" fieldPosition="0"/>
    </format>
    <format dxfId="101">
      <pivotArea field="2" type="button" dataOnly="0" labelOnly="1" outline="0" axis="axisRow" fieldPosition="0"/>
    </format>
    <format dxfId="102">
      <pivotArea dataOnly="0" labelOnly="1" fieldPosition="0">
        <references count="1">
          <reference field="2" count="0"/>
        </references>
      </pivotArea>
    </format>
    <format dxfId="103">
      <pivotArea dataOnly="0" labelOnly="1" grandRow="1" outline="0" fieldPosition="0"/>
    </format>
    <format dxfId="104">
      <pivotArea dataOnly="0" labelOnly="1" fieldPosition="0">
        <references count="1">
          <reference field="4" count="0"/>
        </references>
      </pivotArea>
    </format>
    <format dxfId="105">
      <pivotArea dataOnly="0" labelOnly="1" grandCol="1" outline="0" fieldPosition="0"/>
    </format>
  </format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EE6C71-1BF7-4175-8CB9-3814949F36F9}" name="Tabela dinâmica2" cacheId="13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1" rowHeaderCaption="Plans" colHeaderCaption="No / Yes">
  <location ref="D2:G7" firstHeaderRow="1" firstDataRow="2" firstDataCol="1"/>
  <pivotFields count="13"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/>
    <pivotField showAll="0">
      <items count="3">
        <item x="1"/>
        <item x="0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plans" fld="2" subtotal="count" baseField="0" baseItem="0"/>
  </dataFields>
  <formats count="9">
    <format dxfId="866">
      <pivotArea dataOnly="0" labelOnly="1" fieldPosition="0">
        <references count="1">
          <reference field="9" count="1">
            <x v="0"/>
          </reference>
        </references>
      </pivotArea>
    </format>
    <format dxfId="865">
      <pivotArea dataOnly="0" labelOnly="1" fieldPosition="0">
        <references count="1">
          <reference field="9" count="1">
            <x v="1"/>
          </reference>
        </references>
      </pivotArea>
    </format>
    <format dxfId="864">
      <pivotArea dataOnly="0" labelOnly="1" grandCol="1" outline="0" fieldPosition="0"/>
    </format>
    <format dxfId="863">
      <pivotArea field="2" type="button" dataOnly="0" labelOnly="1" outline="0" axis="axisRow" fieldPosition="0"/>
    </format>
    <format dxfId="862">
      <pivotArea outline="0" collapsedLevelsAreSubtotals="1" fieldPosition="0">
        <references count="1">
          <reference field="9" count="1" selected="0">
            <x v="0"/>
          </reference>
        </references>
      </pivotArea>
    </format>
    <format dxfId="861">
      <pivotArea outline="0" collapsedLevelsAreSubtotals="1" fieldPosition="0">
        <references count="1">
          <reference field="9" count="1" selected="0">
            <x v="1"/>
          </reference>
        </references>
      </pivotArea>
    </format>
    <format dxfId="860">
      <pivotArea grandCol="1" outline="0" collapsedLevelsAreSubtotals="1" fieldPosition="0"/>
    </format>
    <format dxfId="851">
      <pivotArea type="origin" dataOnly="0" labelOnly="1" outline="0" fieldPosition="0"/>
    </format>
    <format dxfId="850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02CFF2-A4D3-4CE7-8386-B154C4AC6AE9}" name="Plans / Qty of plans_x0009_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Plans">
  <location ref="A2:B6" firstHeaderRow="1" firstDataRow="1" firstDataCol="1"/>
  <pivotFields count="13"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Plans" fld="2" subtotal="count" baseField="0" baseItem="0"/>
  </dataFields>
  <formats count="6">
    <format dxfId="106">
      <pivotArea type="all" dataOnly="0" outline="0" fieldPosition="0"/>
    </format>
    <format dxfId="107">
      <pivotArea outline="0" collapsedLevelsAreSubtotals="1" fieldPosition="0"/>
    </format>
    <format dxfId="108">
      <pivotArea field="2" type="button" dataOnly="0" labelOnly="1" outline="0" axis="axisRow" fieldPosition="0"/>
    </format>
    <format dxfId="109">
      <pivotArea dataOnly="0" labelOnly="1" fieldPosition="0">
        <references count="1">
          <reference field="2" count="0"/>
        </references>
      </pivotArea>
    </format>
    <format dxfId="110">
      <pivotArea dataOnly="0" labelOnly="1" grandRow="1" outline="0" fieldPosition="0"/>
    </format>
    <format dxfId="111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3ACB3B2D-3C37-4B70-AE16-47290A795C9F}" sourceName="Plan">
  <pivotTables>
    <pivotTable tabId="3" name="Plans / Qty of plans_x0009_"/>
    <pivotTable tabId="3" name="How many people renewal_x0009__x0009__x0009_"/>
  </pivotTables>
  <data>
    <tabular pivotCacheId="1844238805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" xr10:uid="{4B497E36-4106-4F49-849C-49ABD1A8AA00}" cache="SegmentaçãodeDados_Plan" caption="Plan" style="SlicerStyleLight1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880">
  <autoFilter ref="A1:M296" xr:uid="{34E0E886-4200-4B36-97B3-63DB74FF40A0}"/>
  <tableColumns count="13">
    <tableColumn id="1" xr3:uid="{C4A90516-688A-46BF-9167-EA16C2A8A652}" name="Subscriber ID" dataDxfId="879"/>
    <tableColumn id="2" xr3:uid="{53DD39D0-2220-4121-9E9D-4EAA7E151C0F}" name="Name" dataDxfId="878"/>
    <tableColumn id="3" xr3:uid="{4F5FF271-4C57-4BE0-8F2C-F82C8551625C}" name="Plan" dataDxfId="877"/>
    <tableColumn id="4" xr3:uid="{8C17EB93-79B9-4E55-B8F7-BEB82F8253E9}" name="Start Date" dataDxfId="876"/>
    <tableColumn id="5" xr3:uid="{48CEDF9B-1689-482A-A828-5CCE7713264A}" name="Auto Renewal" dataDxfId="875"/>
    <tableColumn id="6" xr3:uid="{78B82374-9AA7-4E38-AE4F-78CDE6C83720}" name="Subscription Price" dataDxfId="874" dataCellStyle="Moeda"/>
    <tableColumn id="7" xr3:uid="{F2433F68-AF33-49D0-B1FB-19A396074EDE}" name="Subscription Type" dataDxfId="873"/>
    <tableColumn id="8" xr3:uid="{FD4D9C95-F6E5-4933-9068-A71FF7DF9343}" name="EA Play Season Pass" dataDxfId="872"/>
    <tableColumn id="13" xr3:uid="{978DD0D2-834E-4CE4-A39B-30976086932F}" name="EA Play Season Pass_x000a_Price" dataDxfId="871" dataCellStyle="Moeda"/>
    <tableColumn id="9" xr3:uid="{6E29F111-C395-4580-9DAD-3407D9E8B1A4}" name="Minecraft Season Pass" dataDxfId="870"/>
    <tableColumn id="10" xr3:uid="{EF544EAA-7F25-4FD5-A10E-8E62804DB9E3}" name="Minecraft Season Pass Price" dataDxfId="869" dataCellStyle="Moeda"/>
    <tableColumn id="11" xr3:uid="{7F6EB64A-1F07-4E48-9F0F-AC7D9DCD26F8}" name="Coupon Value" dataDxfId="868" dataCellStyle="Moeda"/>
    <tableColumn id="12" xr3:uid="{2B04ABC8-DE6F-426E-ADC0-D8AFC68CA58E}" name="Total Value" dataDxfId="867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M15" sqref="M1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1" sqref="E1"/>
    </sheetView>
  </sheetViews>
  <sheetFormatPr defaultRowHeight="15" x14ac:dyDescent="0.25"/>
  <cols>
    <col min="1" max="1" width="17.85546875" customWidth="1"/>
    <col min="2" max="2" width="18.85546875" bestFit="1" customWidth="1"/>
    <col min="3" max="3" width="10" bestFit="1" customWidth="1"/>
    <col min="4" max="4" width="14.5703125" bestFit="1" customWidth="1"/>
    <col min="5" max="5" width="18" bestFit="1" customWidth="1"/>
    <col min="6" max="6" width="17" bestFit="1" customWidth="1"/>
    <col min="7" max="7" width="22" bestFit="1" customWidth="1"/>
    <col min="8" max="9" width="23.85546875" bestFit="1" customWidth="1"/>
    <col min="10" max="10" width="23.85546875" customWidth="1"/>
    <col min="11" max="11" width="25.5703125" bestFit="1" customWidth="1"/>
    <col min="12" max="12" width="13" bestFit="1" customWidth="1"/>
    <col min="13" max="13" width="15.710937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R21"/>
  <sheetViews>
    <sheetView showGridLines="0" workbookViewId="0">
      <selection activeCell="AJ54" sqref="AJ54"/>
    </sheetView>
  </sheetViews>
  <sheetFormatPr defaultRowHeight="15" x14ac:dyDescent="0.25"/>
  <cols>
    <col min="1" max="1" width="10.7109375" bestFit="1" customWidth="1"/>
    <col min="2" max="2" width="11.85546875" bestFit="1" customWidth="1"/>
    <col min="3" max="4" width="18.42578125" bestFit="1" customWidth="1"/>
    <col min="5" max="5" width="20.140625" bestFit="1" customWidth="1"/>
    <col min="6" max="6" width="10" customWidth="1"/>
    <col min="7" max="7" width="20.28515625" customWidth="1"/>
    <col min="8" max="8" width="11.140625" bestFit="1" customWidth="1"/>
    <col min="9" max="9" width="9.140625" bestFit="1" customWidth="1"/>
    <col min="10" max="10" width="11.85546875" bestFit="1" customWidth="1"/>
    <col min="11" max="11" width="12.140625" bestFit="1" customWidth="1"/>
    <col min="12" max="12" width="4.28515625" bestFit="1" customWidth="1"/>
    <col min="13" max="13" width="5.42578125" bestFit="1" customWidth="1"/>
    <col min="14" max="14" width="20.140625" bestFit="1" customWidth="1"/>
    <col min="15" max="15" width="13.28515625" bestFit="1" customWidth="1"/>
    <col min="16" max="16" width="11.85546875" bestFit="1" customWidth="1"/>
    <col min="17" max="17" width="16.7109375" bestFit="1" customWidth="1"/>
    <col min="18" max="18" width="10.7109375" bestFit="1" customWidth="1"/>
    <col min="19" max="22" width="8.7109375" bestFit="1" customWidth="1"/>
    <col min="23" max="26" width="9.7109375" bestFit="1" customWidth="1"/>
    <col min="27" max="27" width="6.85546875" bestFit="1" customWidth="1"/>
    <col min="28" max="28" width="10.5703125" bestFit="1" customWidth="1"/>
    <col min="29" max="29" width="14.5703125" bestFit="1" customWidth="1"/>
    <col min="30" max="30" width="10.5703125" bestFit="1" customWidth="1"/>
    <col min="31" max="31" width="14.5703125" bestFit="1" customWidth="1"/>
    <col min="32" max="32" width="11.5703125" bestFit="1" customWidth="1"/>
    <col min="33" max="33" width="8.7109375" bestFit="1" customWidth="1"/>
    <col min="34" max="34" width="15.5703125" bestFit="1" customWidth="1"/>
    <col min="35" max="35" width="11.5703125" bestFit="1" customWidth="1"/>
    <col min="36" max="36" width="15.5703125" bestFit="1" customWidth="1"/>
    <col min="37" max="37" width="11.5703125" bestFit="1" customWidth="1"/>
    <col min="38" max="38" width="8.7109375" bestFit="1" customWidth="1"/>
    <col min="39" max="39" width="15.5703125" bestFit="1" customWidth="1"/>
    <col min="40" max="40" width="11.5703125" bestFit="1" customWidth="1"/>
    <col min="41" max="41" width="15.5703125" bestFit="1" customWidth="1"/>
    <col min="42" max="42" width="6.85546875" bestFit="1" customWidth="1"/>
    <col min="43" max="289" width="20.140625" bestFit="1" customWidth="1"/>
    <col min="290" max="290" width="10.7109375" bestFit="1" customWidth="1"/>
  </cols>
  <sheetData>
    <row r="1" spans="1:18" x14ac:dyDescent="0.25">
      <c r="A1" s="15" t="s">
        <v>315</v>
      </c>
      <c r="B1" s="15"/>
      <c r="D1" s="15" t="s">
        <v>316</v>
      </c>
      <c r="E1" s="15"/>
      <c r="F1" s="15"/>
      <c r="G1" s="15"/>
      <c r="H1" s="15"/>
      <c r="J1" s="15" t="s">
        <v>320</v>
      </c>
      <c r="K1" s="15"/>
      <c r="L1" s="15"/>
      <c r="M1" s="15"/>
      <c r="O1" s="15" t="s">
        <v>326</v>
      </c>
      <c r="P1" s="15"/>
      <c r="Q1" s="15"/>
      <c r="R1" s="15"/>
    </row>
    <row r="2" spans="1:18" x14ac:dyDescent="0.25">
      <c r="A2" s="14" t="s">
        <v>314</v>
      </c>
      <c r="B2" s="16" t="s">
        <v>319</v>
      </c>
      <c r="D2" s="14" t="s">
        <v>317</v>
      </c>
      <c r="E2" s="14" t="s">
        <v>318</v>
      </c>
      <c r="H2" s="13"/>
      <c r="J2" s="14" t="s">
        <v>317</v>
      </c>
      <c r="K2" s="14" t="s">
        <v>321</v>
      </c>
      <c r="L2" s="16"/>
      <c r="M2" s="16"/>
      <c r="O2" s="14" t="s">
        <v>314</v>
      </c>
      <c r="P2" s="16" t="s">
        <v>317</v>
      </c>
      <c r="Q2" s="19" t="s">
        <v>323</v>
      </c>
      <c r="R2" s="19" t="s">
        <v>324</v>
      </c>
    </row>
    <row r="3" spans="1:18" x14ac:dyDescent="0.25">
      <c r="A3" s="16" t="s">
        <v>22</v>
      </c>
      <c r="B3" s="18">
        <v>101</v>
      </c>
      <c r="D3" s="14" t="s">
        <v>314</v>
      </c>
      <c r="E3" s="16" t="s">
        <v>23</v>
      </c>
      <c r="F3" s="16" t="s">
        <v>19</v>
      </c>
      <c r="G3" s="16" t="s">
        <v>322</v>
      </c>
      <c r="H3" s="19" t="s">
        <v>325</v>
      </c>
      <c r="J3" s="14" t="s">
        <v>314</v>
      </c>
      <c r="K3" s="16" t="s">
        <v>23</v>
      </c>
      <c r="L3" s="16" t="s">
        <v>19</v>
      </c>
      <c r="M3" s="16" t="s">
        <v>322</v>
      </c>
      <c r="O3" s="16" t="s">
        <v>22</v>
      </c>
      <c r="P3" s="18">
        <v>101</v>
      </c>
      <c r="Q3" s="21">
        <f>SUM($P$5:$P$6,$P$8:$P$12,$P$14:$P$20)</f>
        <v>244</v>
      </c>
      <c r="R3" s="21">
        <v>51</v>
      </c>
    </row>
    <row r="4" spans="1:18" x14ac:dyDescent="0.25">
      <c r="A4" s="16" t="s">
        <v>26</v>
      </c>
      <c r="B4" s="18">
        <v>96</v>
      </c>
      <c r="D4" s="12" t="s">
        <v>22</v>
      </c>
      <c r="E4" s="18">
        <v>101</v>
      </c>
      <c r="F4" s="18"/>
      <c r="G4" s="18">
        <v>101</v>
      </c>
      <c r="J4" s="16" t="s">
        <v>22</v>
      </c>
      <c r="K4" s="18">
        <v>50</v>
      </c>
      <c r="L4" s="18">
        <v>51</v>
      </c>
      <c r="M4" s="18">
        <v>101</v>
      </c>
      <c r="O4" s="17">
        <v>0</v>
      </c>
      <c r="P4" s="18">
        <v>51</v>
      </c>
      <c r="Q4" s="21"/>
    </row>
    <row r="5" spans="1:18" x14ac:dyDescent="0.25">
      <c r="A5" s="16" t="s">
        <v>18</v>
      </c>
      <c r="B5" s="18">
        <v>98</v>
      </c>
      <c r="D5" s="12" t="s">
        <v>26</v>
      </c>
      <c r="E5" s="18"/>
      <c r="F5" s="18">
        <v>96</v>
      </c>
      <c r="G5" s="18">
        <v>96</v>
      </c>
      <c r="J5" s="16" t="s">
        <v>26</v>
      </c>
      <c r="K5" s="18">
        <v>47</v>
      </c>
      <c r="L5" s="18">
        <v>49</v>
      </c>
      <c r="M5" s="18">
        <v>96</v>
      </c>
      <c r="O5" s="17">
        <v>1</v>
      </c>
      <c r="P5" s="18">
        <v>39</v>
      </c>
      <c r="Q5" s="21"/>
    </row>
    <row r="6" spans="1:18" x14ac:dyDescent="0.25">
      <c r="A6" s="16" t="s">
        <v>313</v>
      </c>
      <c r="B6" s="18">
        <v>295</v>
      </c>
      <c r="D6" s="12" t="s">
        <v>18</v>
      </c>
      <c r="E6" s="18"/>
      <c r="F6" s="18">
        <v>98</v>
      </c>
      <c r="G6" s="18">
        <v>98</v>
      </c>
      <c r="J6" s="16" t="s">
        <v>18</v>
      </c>
      <c r="K6" s="18">
        <v>50</v>
      </c>
      <c r="L6" s="18">
        <v>48</v>
      </c>
      <c r="M6" s="18">
        <v>98</v>
      </c>
      <c r="O6" s="17">
        <v>2</v>
      </c>
      <c r="P6" s="18">
        <v>11</v>
      </c>
      <c r="Q6" s="21"/>
    </row>
    <row r="7" spans="1:18" x14ac:dyDescent="0.25">
      <c r="D7" s="12" t="s">
        <v>322</v>
      </c>
      <c r="E7" s="18">
        <v>101</v>
      </c>
      <c r="F7" s="18">
        <v>194</v>
      </c>
      <c r="G7" s="18">
        <v>295</v>
      </c>
      <c r="H7" s="20">
        <f>SUM(G5:G6)</f>
        <v>194</v>
      </c>
      <c r="J7" s="16" t="s">
        <v>322</v>
      </c>
      <c r="K7" s="18">
        <v>147</v>
      </c>
      <c r="L7" s="18">
        <v>148</v>
      </c>
      <c r="M7" s="18">
        <v>295</v>
      </c>
      <c r="O7" s="16" t="s">
        <v>26</v>
      </c>
      <c r="P7" s="18">
        <v>96</v>
      </c>
      <c r="Q7" s="21"/>
    </row>
    <row r="8" spans="1:18" x14ac:dyDescent="0.25">
      <c r="O8" s="17">
        <v>2</v>
      </c>
      <c r="P8" s="18">
        <v>1</v>
      </c>
      <c r="Q8" s="21"/>
    </row>
    <row r="9" spans="1:18" x14ac:dyDescent="0.25">
      <c r="O9" s="17">
        <v>5</v>
      </c>
      <c r="P9" s="18">
        <v>10</v>
      </c>
      <c r="Q9" s="21"/>
    </row>
    <row r="10" spans="1:18" x14ac:dyDescent="0.25">
      <c r="O10" s="17">
        <v>10</v>
      </c>
      <c r="P10" s="18">
        <v>43</v>
      </c>
      <c r="Q10" s="21"/>
    </row>
    <row r="11" spans="1:18" x14ac:dyDescent="0.25">
      <c r="O11" s="17">
        <v>12</v>
      </c>
      <c r="P11" s="18">
        <v>11</v>
      </c>
      <c r="Q11" s="21"/>
    </row>
    <row r="12" spans="1:18" x14ac:dyDescent="0.25">
      <c r="O12" s="17">
        <v>15</v>
      </c>
      <c r="P12" s="18">
        <v>31</v>
      </c>
      <c r="Q12" s="21"/>
    </row>
    <row r="13" spans="1:18" x14ac:dyDescent="0.25">
      <c r="O13" s="16" t="s">
        <v>18</v>
      </c>
      <c r="P13" s="18">
        <v>98</v>
      </c>
      <c r="Q13" s="21"/>
    </row>
    <row r="14" spans="1:18" x14ac:dyDescent="0.25">
      <c r="O14" s="17">
        <v>3</v>
      </c>
      <c r="P14" s="18">
        <v>21</v>
      </c>
      <c r="Q14" s="21"/>
    </row>
    <row r="15" spans="1:18" x14ac:dyDescent="0.25">
      <c r="O15" s="17">
        <v>5</v>
      </c>
      <c r="P15" s="18">
        <v>15</v>
      </c>
      <c r="Q15" s="21"/>
    </row>
    <row r="16" spans="1:18" x14ac:dyDescent="0.25">
      <c r="O16" s="17">
        <v>7</v>
      </c>
      <c r="P16" s="18">
        <v>23</v>
      </c>
      <c r="Q16" s="21"/>
    </row>
    <row r="17" spans="15:17" x14ac:dyDescent="0.25">
      <c r="O17" s="17">
        <v>8</v>
      </c>
      <c r="P17" s="18">
        <v>1</v>
      </c>
      <c r="Q17" s="21"/>
    </row>
    <row r="18" spans="15:17" x14ac:dyDescent="0.25">
      <c r="O18" s="17">
        <v>10</v>
      </c>
      <c r="P18" s="18">
        <v>1</v>
      </c>
      <c r="Q18" s="21"/>
    </row>
    <row r="19" spans="15:17" x14ac:dyDescent="0.25">
      <c r="O19" s="17">
        <v>15</v>
      </c>
      <c r="P19" s="18">
        <v>15</v>
      </c>
      <c r="Q19" s="21"/>
    </row>
    <row r="20" spans="15:17" x14ac:dyDescent="0.25">
      <c r="O20" s="17">
        <v>20</v>
      </c>
      <c r="P20" s="18">
        <v>22</v>
      </c>
      <c r="Q20" s="21"/>
    </row>
    <row r="21" spans="15:17" x14ac:dyDescent="0.25">
      <c r="O21" s="16" t="s">
        <v>322</v>
      </c>
      <c r="P21" s="18">
        <v>295</v>
      </c>
      <c r="Q21" s="21"/>
    </row>
  </sheetData>
  <mergeCells count="4">
    <mergeCell ref="A1:B1"/>
    <mergeCell ref="J1:M1"/>
    <mergeCell ref="O1:R1"/>
    <mergeCell ref="D1:H1"/>
  </mergeCells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CJ350"/>
  <sheetViews>
    <sheetView showGridLines="0" showRowColHeaders="0" tabSelected="1" zoomScale="80" zoomScaleNormal="80" workbookViewId="0">
      <selection activeCell="AK51" sqref="AK51"/>
    </sheetView>
  </sheetViews>
  <sheetFormatPr defaultColWidth="5" defaultRowHeight="15" x14ac:dyDescent="0.25"/>
  <cols>
    <col min="1" max="1" width="5" style="24"/>
  </cols>
  <sheetData>
    <row r="1" spans="1:88" ht="66.75" customHeight="1" x14ac:dyDescent="0.25">
      <c r="A1" s="25" t="s">
        <v>327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3"/>
      <c r="CJ1" s="23"/>
    </row>
    <row r="2" spans="1:88" x14ac:dyDescent="0.25"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3"/>
    </row>
    <row r="3" spans="1:88" x14ac:dyDescent="0.25"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3"/>
    </row>
    <row r="4" spans="1:88" x14ac:dyDescent="0.25"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3"/>
    </row>
    <row r="5" spans="1:88" x14ac:dyDescent="0.25"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3"/>
    </row>
    <row r="6" spans="1:88" x14ac:dyDescent="0.25"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3"/>
    </row>
    <row r="7" spans="1:88" x14ac:dyDescent="0.25"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3"/>
    </row>
    <row r="8" spans="1:88" x14ac:dyDescent="0.25"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3"/>
    </row>
    <row r="9" spans="1:88" x14ac:dyDescent="0.25"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3"/>
    </row>
    <row r="10" spans="1:88" x14ac:dyDescent="0.25"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3"/>
    </row>
    <row r="11" spans="1:88" x14ac:dyDescent="0.25"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3"/>
    </row>
    <row r="12" spans="1:88" x14ac:dyDescent="0.25"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3"/>
    </row>
    <row r="13" spans="1:88" x14ac:dyDescent="0.25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3"/>
    </row>
    <row r="14" spans="1:88" x14ac:dyDescent="0.25"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3"/>
    </row>
    <row r="15" spans="1:88" x14ac:dyDescent="0.25"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3"/>
    </row>
    <row r="16" spans="1:88" x14ac:dyDescent="0.25"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3"/>
    </row>
    <row r="17" spans="2:87" x14ac:dyDescent="0.25"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3"/>
    </row>
    <row r="18" spans="2:87" x14ac:dyDescent="0.25"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3"/>
    </row>
    <row r="19" spans="2:87" x14ac:dyDescent="0.25"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3"/>
    </row>
    <row r="20" spans="2:87" x14ac:dyDescent="0.25"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3"/>
    </row>
    <row r="21" spans="2:87" x14ac:dyDescent="0.25"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3"/>
    </row>
    <row r="22" spans="2:87" x14ac:dyDescent="0.25"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3"/>
    </row>
    <row r="23" spans="2:87" x14ac:dyDescent="0.25"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3"/>
    </row>
    <row r="24" spans="2:87" x14ac:dyDescent="0.25"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3"/>
    </row>
    <row r="25" spans="2:87" x14ac:dyDescent="0.25"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3"/>
    </row>
    <row r="26" spans="2:87" x14ac:dyDescent="0.25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3"/>
    </row>
    <row r="27" spans="2:87" x14ac:dyDescent="0.25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3"/>
    </row>
    <row r="28" spans="2:87" x14ac:dyDescent="0.25"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3"/>
    </row>
    <row r="29" spans="2:87" x14ac:dyDescent="0.25"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3"/>
    </row>
    <row r="30" spans="2:87" x14ac:dyDescent="0.25"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3"/>
    </row>
    <row r="31" spans="2:87" x14ac:dyDescent="0.25"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3"/>
    </row>
    <row r="32" spans="2:87" x14ac:dyDescent="0.25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3"/>
    </row>
    <row r="33" spans="2:87" x14ac:dyDescent="0.25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3"/>
    </row>
    <row r="34" spans="2:87" x14ac:dyDescent="0.25"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3"/>
    </row>
    <row r="35" spans="2:87" x14ac:dyDescent="0.25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</row>
    <row r="36" spans="2:87" x14ac:dyDescent="0.25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</row>
    <row r="37" spans="2:87" x14ac:dyDescent="0.25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</row>
    <row r="38" spans="2:87" x14ac:dyDescent="0.25"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</row>
    <row r="39" spans="2:87" x14ac:dyDescent="0.25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</row>
    <row r="40" spans="2:87" x14ac:dyDescent="0.25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</row>
    <row r="41" spans="2:87" x14ac:dyDescent="0.25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</row>
    <row r="42" spans="2:87" x14ac:dyDescent="0.25"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</row>
    <row r="43" spans="2:87" x14ac:dyDescent="0.25"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</row>
    <row r="44" spans="2:87" x14ac:dyDescent="0.25"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</row>
    <row r="45" spans="2:87" x14ac:dyDescent="0.25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</row>
    <row r="46" spans="2:87" x14ac:dyDescent="0.25"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</row>
    <row r="47" spans="2:87" x14ac:dyDescent="0.25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</row>
    <row r="48" spans="2:87" x14ac:dyDescent="0.25"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</row>
    <row r="49" spans="2:87" x14ac:dyDescent="0.25"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</row>
    <row r="50" spans="2:87" x14ac:dyDescent="0.25"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</row>
    <row r="51" spans="2:87" x14ac:dyDescent="0.25"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</row>
    <row r="52" spans="2:87" x14ac:dyDescent="0.25"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</row>
    <row r="53" spans="2:87" x14ac:dyDescent="0.25"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</row>
    <row r="54" spans="2:87" x14ac:dyDescent="0.25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</row>
    <row r="55" spans="2:87" x14ac:dyDescent="0.25"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</row>
    <row r="56" spans="2:87" x14ac:dyDescent="0.25"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</row>
    <row r="57" spans="2:87" x14ac:dyDescent="0.25"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</row>
    <row r="58" spans="2:87" x14ac:dyDescent="0.25"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</row>
    <row r="59" spans="2:87" x14ac:dyDescent="0.25"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</row>
    <row r="60" spans="2:87" x14ac:dyDescent="0.25"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</row>
    <row r="61" spans="2:87" x14ac:dyDescent="0.25"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</row>
    <row r="62" spans="2:87" x14ac:dyDescent="0.25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</row>
    <row r="63" spans="2:87" x14ac:dyDescent="0.25"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</row>
    <row r="64" spans="2:87" x14ac:dyDescent="0.25"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</row>
    <row r="65" spans="2:87" x14ac:dyDescent="0.25"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</row>
    <row r="66" spans="2:87" x14ac:dyDescent="0.25"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</row>
    <row r="67" spans="2:87" x14ac:dyDescent="0.25"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</row>
    <row r="68" spans="2:87" x14ac:dyDescent="0.25"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</row>
    <row r="69" spans="2:87" x14ac:dyDescent="0.25"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</row>
    <row r="70" spans="2:87" x14ac:dyDescent="0.25"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</row>
    <row r="71" spans="2:87" x14ac:dyDescent="0.25"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</row>
    <row r="72" spans="2:87" x14ac:dyDescent="0.25"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</row>
    <row r="73" spans="2:87" x14ac:dyDescent="0.25"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</row>
    <row r="74" spans="2:87" x14ac:dyDescent="0.25"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</row>
    <row r="75" spans="2:87" x14ac:dyDescent="0.25"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</row>
    <row r="76" spans="2:87" x14ac:dyDescent="0.25"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</row>
    <row r="77" spans="2:87" x14ac:dyDescent="0.25"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</row>
    <row r="78" spans="2:87" x14ac:dyDescent="0.25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</row>
    <row r="79" spans="2:87" x14ac:dyDescent="0.25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</row>
    <row r="80" spans="2:87" x14ac:dyDescent="0.25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</row>
    <row r="81" spans="2:87" x14ac:dyDescent="0.25"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</row>
    <row r="82" spans="2:87" x14ac:dyDescent="0.25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</row>
    <row r="83" spans="2:87" x14ac:dyDescent="0.25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</row>
    <row r="84" spans="2:87" x14ac:dyDescent="0.25"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</row>
    <row r="85" spans="2:87" x14ac:dyDescent="0.25"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</row>
    <row r="86" spans="2:87" x14ac:dyDescent="0.25"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</row>
    <row r="87" spans="2:87" x14ac:dyDescent="0.25"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</row>
    <row r="88" spans="2:87" x14ac:dyDescent="0.25"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</row>
    <row r="89" spans="2:87" x14ac:dyDescent="0.25"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</row>
    <row r="90" spans="2:87" x14ac:dyDescent="0.25"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</row>
    <row r="91" spans="2:87" x14ac:dyDescent="0.25"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</row>
    <row r="92" spans="2:87" x14ac:dyDescent="0.25"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</row>
    <row r="93" spans="2:87" x14ac:dyDescent="0.25"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</row>
    <row r="94" spans="2:87" x14ac:dyDescent="0.25"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</row>
    <row r="95" spans="2:87" x14ac:dyDescent="0.25"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</row>
    <row r="96" spans="2:87" x14ac:dyDescent="0.25"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</row>
    <row r="97" spans="2:87" x14ac:dyDescent="0.25"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</row>
    <row r="98" spans="2:87" x14ac:dyDescent="0.25"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</row>
    <row r="99" spans="2:87" x14ac:dyDescent="0.25"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</row>
    <row r="100" spans="2:87" x14ac:dyDescent="0.25"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</row>
    <row r="101" spans="2:87" x14ac:dyDescent="0.25"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</row>
    <row r="102" spans="2:87" x14ac:dyDescent="0.25"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</row>
    <row r="103" spans="2:87" x14ac:dyDescent="0.25"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</row>
    <row r="104" spans="2:87" x14ac:dyDescent="0.25"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</row>
    <row r="105" spans="2:87" x14ac:dyDescent="0.25"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</row>
    <row r="106" spans="2:87" x14ac:dyDescent="0.25"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</row>
    <row r="107" spans="2:87" x14ac:dyDescent="0.25"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</row>
    <row r="108" spans="2:87" x14ac:dyDescent="0.25"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</row>
    <row r="109" spans="2:87" x14ac:dyDescent="0.25"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</row>
    <row r="110" spans="2:87" x14ac:dyDescent="0.25"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</row>
    <row r="111" spans="2:87" x14ac:dyDescent="0.25"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</row>
    <row r="112" spans="2:87" x14ac:dyDescent="0.25"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</row>
    <row r="113" spans="2:87" x14ac:dyDescent="0.25"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</row>
    <row r="114" spans="2:87" x14ac:dyDescent="0.25"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</row>
    <row r="115" spans="2:87" x14ac:dyDescent="0.25"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</row>
    <row r="116" spans="2:87" x14ac:dyDescent="0.25"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</row>
    <row r="117" spans="2:87" x14ac:dyDescent="0.25"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</row>
    <row r="118" spans="2:87" x14ac:dyDescent="0.25"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</row>
    <row r="119" spans="2:87" x14ac:dyDescent="0.25"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</row>
    <row r="120" spans="2:87" x14ac:dyDescent="0.25"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</row>
    <row r="121" spans="2:87" x14ac:dyDescent="0.25"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</row>
    <row r="122" spans="2:87" x14ac:dyDescent="0.25"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</row>
    <row r="123" spans="2:87" x14ac:dyDescent="0.25"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</row>
    <row r="124" spans="2:87" x14ac:dyDescent="0.25"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</row>
    <row r="125" spans="2:87" x14ac:dyDescent="0.25"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</row>
    <row r="126" spans="2:87" x14ac:dyDescent="0.25"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</row>
    <row r="127" spans="2:87" x14ac:dyDescent="0.25"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</row>
    <row r="128" spans="2:87" x14ac:dyDescent="0.25"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</row>
    <row r="129" spans="2:87" x14ac:dyDescent="0.25"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</row>
    <row r="130" spans="2:87" x14ac:dyDescent="0.25"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</row>
    <row r="131" spans="2:87" x14ac:dyDescent="0.25"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</row>
    <row r="132" spans="2:87" x14ac:dyDescent="0.25"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4"/>
      <c r="CF132" s="24"/>
      <c r="CG132" s="24"/>
      <c r="CH132" s="24"/>
      <c r="CI132" s="24"/>
    </row>
    <row r="133" spans="2:87" x14ac:dyDescent="0.25"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</row>
    <row r="134" spans="2:87" x14ac:dyDescent="0.25"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</row>
    <row r="135" spans="2:87" x14ac:dyDescent="0.25"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4"/>
      <c r="CG135" s="24"/>
      <c r="CH135" s="24"/>
      <c r="CI135" s="24"/>
    </row>
    <row r="136" spans="2:87" x14ac:dyDescent="0.25"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</row>
    <row r="137" spans="2:87" x14ac:dyDescent="0.25"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</row>
    <row r="138" spans="2:87" x14ac:dyDescent="0.25"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4"/>
      <c r="CE138" s="24"/>
      <c r="CF138" s="24"/>
      <c r="CG138" s="24"/>
      <c r="CH138" s="24"/>
      <c r="CI138" s="24"/>
    </row>
    <row r="139" spans="2:87" x14ac:dyDescent="0.25"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</row>
    <row r="140" spans="2:87" x14ac:dyDescent="0.25"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  <c r="CI140" s="24"/>
    </row>
    <row r="141" spans="2:87" x14ac:dyDescent="0.25"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</row>
    <row r="142" spans="2:87" x14ac:dyDescent="0.25"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4"/>
    </row>
    <row r="143" spans="2:87" x14ac:dyDescent="0.25"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</row>
    <row r="144" spans="2:87" x14ac:dyDescent="0.25"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</row>
    <row r="145" spans="2:87" x14ac:dyDescent="0.25"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</row>
    <row r="146" spans="2:87" x14ac:dyDescent="0.25"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4"/>
      <c r="CF146" s="24"/>
      <c r="CG146" s="24"/>
      <c r="CH146" s="24"/>
      <c r="CI146" s="24"/>
    </row>
    <row r="147" spans="2:87" x14ac:dyDescent="0.25"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</row>
    <row r="148" spans="2:87" x14ac:dyDescent="0.25"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</row>
    <row r="149" spans="2:87" x14ac:dyDescent="0.25"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</row>
    <row r="150" spans="2:87" x14ac:dyDescent="0.25"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</row>
    <row r="151" spans="2:87" x14ac:dyDescent="0.25"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</row>
    <row r="152" spans="2:87" x14ac:dyDescent="0.25"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</row>
    <row r="153" spans="2:87" x14ac:dyDescent="0.25"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</row>
    <row r="154" spans="2:87" x14ac:dyDescent="0.25"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</row>
    <row r="155" spans="2:87" x14ac:dyDescent="0.25"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</row>
    <row r="156" spans="2:87" x14ac:dyDescent="0.25"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</row>
    <row r="157" spans="2:87" x14ac:dyDescent="0.25"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</row>
    <row r="158" spans="2:87" x14ac:dyDescent="0.25"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</row>
    <row r="159" spans="2:87" x14ac:dyDescent="0.25"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</row>
    <row r="160" spans="2:87" x14ac:dyDescent="0.25"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/>
      <c r="CI160" s="24"/>
    </row>
    <row r="161" spans="2:87" x14ac:dyDescent="0.25"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</row>
    <row r="162" spans="2:87" x14ac:dyDescent="0.25"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</row>
    <row r="163" spans="2:87" x14ac:dyDescent="0.25"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</row>
    <row r="164" spans="2:87" x14ac:dyDescent="0.25"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</row>
    <row r="165" spans="2:87" x14ac:dyDescent="0.25"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</row>
    <row r="166" spans="2:87" x14ac:dyDescent="0.25"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</row>
    <row r="167" spans="2:87" x14ac:dyDescent="0.25"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4"/>
    </row>
    <row r="168" spans="2:87" x14ac:dyDescent="0.25"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</row>
    <row r="169" spans="2:87" x14ac:dyDescent="0.25"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4"/>
    </row>
    <row r="170" spans="2:87" x14ac:dyDescent="0.25"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</row>
    <row r="171" spans="2:87" x14ac:dyDescent="0.25"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</row>
    <row r="172" spans="2:87" x14ac:dyDescent="0.25"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4"/>
      <c r="CG172" s="24"/>
      <c r="CH172" s="24"/>
      <c r="CI172" s="24"/>
    </row>
    <row r="173" spans="2:87" x14ac:dyDescent="0.25"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</row>
    <row r="174" spans="2:87" x14ac:dyDescent="0.25"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</row>
    <row r="175" spans="2:87" x14ac:dyDescent="0.25"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4"/>
      <c r="CG175" s="24"/>
      <c r="CH175" s="24"/>
      <c r="CI175" s="24"/>
    </row>
    <row r="176" spans="2:87" x14ac:dyDescent="0.25"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</row>
    <row r="177" spans="2:87" x14ac:dyDescent="0.25"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</row>
    <row r="178" spans="2:87" x14ac:dyDescent="0.25"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</row>
    <row r="179" spans="2:87" x14ac:dyDescent="0.25"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</row>
    <row r="180" spans="2:87" x14ac:dyDescent="0.25"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</row>
    <row r="181" spans="2:87" x14ac:dyDescent="0.25"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</row>
    <row r="182" spans="2:87" x14ac:dyDescent="0.25"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</row>
    <row r="183" spans="2:87" x14ac:dyDescent="0.25"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</row>
    <row r="184" spans="2:87" x14ac:dyDescent="0.25"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</row>
    <row r="185" spans="2:87" x14ac:dyDescent="0.25"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</row>
    <row r="186" spans="2:87" x14ac:dyDescent="0.25"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</row>
    <row r="187" spans="2:87" x14ac:dyDescent="0.25"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4"/>
      <c r="CF187" s="24"/>
      <c r="CG187" s="24"/>
      <c r="CH187" s="24"/>
      <c r="CI187" s="24"/>
    </row>
    <row r="188" spans="2:87" x14ac:dyDescent="0.25"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</row>
    <row r="189" spans="2:87" x14ac:dyDescent="0.25"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4"/>
      <c r="CG189" s="24"/>
      <c r="CH189" s="24"/>
      <c r="CI189" s="24"/>
    </row>
    <row r="190" spans="2:87" x14ac:dyDescent="0.25"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</row>
    <row r="191" spans="2:87" x14ac:dyDescent="0.25"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</row>
    <row r="192" spans="2:87" x14ac:dyDescent="0.25"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</row>
    <row r="193" spans="2:87" x14ac:dyDescent="0.25"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</row>
    <row r="194" spans="2:87" x14ac:dyDescent="0.25"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</row>
    <row r="195" spans="2:87" x14ac:dyDescent="0.25"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</row>
    <row r="196" spans="2:87" x14ac:dyDescent="0.25"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</row>
    <row r="197" spans="2:87" x14ac:dyDescent="0.25"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</row>
    <row r="198" spans="2:87" x14ac:dyDescent="0.25"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</row>
    <row r="199" spans="2:87" x14ac:dyDescent="0.25"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</row>
    <row r="200" spans="2:87" x14ac:dyDescent="0.25"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4"/>
      <c r="CG200" s="24"/>
      <c r="CH200" s="24"/>
      <c r="CI200" s="24"/>
    </row>
    <row r="201" spans="2:87" x14ac:dyDescent="0.25"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</row>
    <row r="202" spans="2:87" x14ac:dyDescent="0.25"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4"/>
      <c r="CF202" s="24"/>
      <c r="CG202" s="24"/>
      <c r="CH202" s="24"/>
      <c r="CI202" s="24"/>
    </row>
    <row r="203" spans="2:87" x14ac:dyDescent="0.25"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4"/>
      <c r="CG203" s="24"/>
      <c r="CH203" s="24"/>
      <c r="CI203" s="24"/>
    </row>
    <row r="204" spans="2:87" x14ac:dyDescent="0.25"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  <c r="CD204" s="24"/>
      <c r="CE204" s="24"/>
      <c r="CF204" s="24"/>
      <c r="CG204" s="24"/>
      <c r="CH204" s="24"/>
      <c r="CI204" s="24"/>
    </row>
    <row r="205" spans="2:87" x14ac:dyDescent="0.25"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4"/>
      <c r="CE205" s="24"/>
      <c r="CF205" s="24"/>
      <c r="CG205" s="24"/>
      <c r="CH205" s="24"/>
      <c r="CI205" s="24"/>
    </row>
    <row r="206" spans="2:87" x14ac:dyDescent="0.25"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</row>
    <row r="207" spans="2:87" x14ac:dyDescent="0.25"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4"/>
      <c r="CG207" s="24"/>
      <c r="CH207" s="24"/>
      <c r="CI207" s="24"/>
    </row>
    <row r="208" spans="2:87" x14ac:dyDescent="0.25"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4"/>
      <c r="CF208" s="24"/>
      <c r="CG208" s="24"/>
      <c r="CH208" s="24"/>
      <c r="CI208" s="24"/>
    </row>
    <row r="209" spans="2:87" x14ac:dyDescent="0.25"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H209" s="24"/>
      <c r="CI209" s="24"/>
    </row>
    <row r="210" spans="2:87" x14ac:dyDescent="0.25"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4"/>
      <c r="CG210" s="24"/>
      <c r="CH210" s="24"/>
      <c r="CI210" s="24"/>
    </row>
    <row r="211" spans="2:87" x14ac:dyDescent="0.25"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</row>
    <row r="212" spans="2:87" x14ac:dyDescent="0.25"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  <c r="CD212" s="24"/>
      <c r="CE212" s="24"/>
      <c r="CF212" s="24"/>
      <c r="CG212" s="24"/>
      <c r="CH212" s="24"/>
      <c r="CI212" s="24"/>
    </row>
    <row r="213" spans="2:87" x14ac:dyDescent="0.25"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H213" s="24"/>
      <c r="CI213" s="24"/>
    </row>
    <row r="214" spans="2:87" x14ac:dyDescent="0.25"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4"/>
      <c r="CF214" s="24"/>
      <c r="CG214" s="24"/>
      <c r="CH214" s="24"/>
      <c r="CI214" s="24"/>
    </row>
    <row r="215" spans="2:87" x14ac:dyDescent="0.25"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24"/>
      <c r="CD215" s="24"/>
      <c r="CE215" s="24"/>
      <c r="CF215" s="24"/>
      <c r="CG215" s="24"/>
      <c r="CH215" s="24"/>
      <c r="CI215" s="24"/>
    </row>
    <row r="216" spans="2:87" x14ac:dyDescent="0.25"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</row>
    <row r="217" spans="2:87" x14ac:dyDescent="0.25"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/>
      <c r="CG217" s="24"/>
      <c r="CH217" s="24"/>
      <c r="CI217" s="24"/>
    </row>
    <row r="218" spans="2:87" x14ac:dyDescent="0.25"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H218" s="24"/>
      <c r="CI218" s="24"/>
    </row>
    <row r="219" spans="2:87" x14ac:dyDescent="0.25"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H219" s="24"/>
      <c r="CI219" s="24"/>
    </row>
    <row r="220" spans="2:87" x14ac:dyDescent="0.25"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  <c r="CD220" s="24"/>
      <c r="CE220" s="24"/>
      <c r="CF220" s="24"/>
      <c r="CG220" s="24"/>
      <c r="CH220" s="24"/>
      <c r="CI220" s="24"/>
    </row>
    <row r="221" spans="2:87" x14ac:dyDescent="0.25"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/>
      <c r="CD221" s="24"/>
      <c r="CE221" s="24"/>
      <c r="CF221" s="24"/>
      <c r="CG221" s="24"/>
      <c r="CH221" s="24"/>
      <c r="CI221" s="24"/>
    </row>
    <row r="222" spans="2:87" x14ac:dyDescent="0.25"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  <c r="CD222" s="24"/>
      <c r="CE222" s="24"/>
      <c r="CF222" s="24"/>
      <c r="CG222" s="24"/>
      <c r="CH222" s="24"/>
      <c r="CI222" s="24"/>
    </row>
    <row r="223" spans="2:87" x14ac:dyDescent="0.25"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24"/>
      <c r="CD223" s="24"/>
      <c r="CE223" s="24"/>
      <c r="CF223" s="24"/>
      <c r="CG223" s="24"/>
      <c r="CH223" s="24"/>
      <c r="CI223" s="24"/>
    </row>
    <row r="224" spans="2:87" x14ac:dyDescent="0.25"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4"/>
      <c r="CC224" s="24"/>
      <c r="CD224" s="24"/>
      <c r="CE224" s="24"/>
      <c r="CF224" s="24"/>
      <c r="CG224" s="24"/>
      <c r="CH224" s="24"/>
      <c r="CI224" s="24"/>
    </row>
    <row r="225" spans="2:87" x14ac:dyDescent="0.25"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B225" s="24"/>
      <c r="CC225" s="24"/>
      <c r="CD225" s="24"/>
      <c r="CE225" s="24"/>
      <c r="CF225" s="24"/>
      <c r="CG225" s="24"/>
      <c r="CH225" s="24"/>
      <c r="CI225" s="24"/>
    </row>
    <row r="226" spans="2:87" x14ac:dyDescent="0.25"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4"/>
      <c r="CC226" s="24"/>
      <c r="CD226" s="24"/>
      <c r="CE226" s="24"/>
      <c r="CF226" s="24"/>
      <c r="CG226" s="24"/>
      <c r="CH226" s="24"/>
      <c r="CI226" s="24"/>
    </row>
    <row r="227" spans="2:87" x14ac:dyDescent="0.25"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B227" s="24"/>
      <c r="CC227" s="24"/>
      <c r="CD227" s="24"/>
      <c r="CE227" s="24"/>
      <c r="CF227" s="24"/>
      <c r="CG227" s="24"/>
      <c r="CH227" s="24"/>
      <c r="CI227" s="24"/>
    </row>
    <row r="228" spans="2:87" x14ac:dyDescent="0.25"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/>
    </row>
    <row r="229" spans="2:87" x14ac:dyDescent="0.25"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4"/>
      <c r="CA229" s="24"/>
      <c r="CB229" s="24"/>
      <c r="CC229" s="24"/>
      <c r="CD229" s="24"/>
      <c r="CE229" s="24"/>
      <c r="CF229" s="24"/>
      <c r="CG229" s="24"/>
      <c r="CH229" s="24"/>
      <c r="CI229" s="24"/>
    </row>
    <row r="230" spans="2:87" x14ac:dyDescent="0.25"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4"/>
      <c r="CC230" s="24"/>
      <c r="CD230" s="24"/>
      <c r="CE230" s="24"/>
      <c r="CF230" s="24"/>
      <c r="CG230" s="24"/>
      <c r="CH230" s="24"/>
      <c r="CI230" s="24"/>
    </row>
    <row r="231" spans="2:87" x14ac:dyDescent="0.25"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4"/>
      <c r="CA231" s="24"/>
      <c r="CB231" s="24"/>
      <c r="CC231" s="24"/>
      <c r="CD231" s="24"/>
      <c r="CE231" s="24"/>
      <c r="CF231" s="24"/>
      <c r="CG231" s="24"/>
      <c r="CH231" s="24"/>
      <c r="CI231" s="24"/>
    </row>
    <row r="232" spans="2:87" x14ac:dyDescent="0.25"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  <c r="CA232" s="24"/>
      <c r="CB232" s="24"/>
      <c r="CC232" s="24"/>
      <c r="CD232" s="24"/>
      <c r="CE232" s="24"/>
      <c r="CF232" s="24"/>
      <c r="CG232" s="24"/>
      <c r="CH232" s="24"/>
      <c r="CI232" s="24"/>
    </row>
    <row r="233" spans="2:87" x14ac:dyDescent="0.25"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/>
      <c r="CB233" s="24"/>
      <c r="CC233" s="24"/>
      <c r="CD233" s="24"/>
      <c r="CE233" s="24"/>
      <c r="CF233" s="24"/>
      <c r="CG233" s="24"/>
      <c r="CH233" s="24"/>
      <c r="CI233" s="24"/>
    </row>
    <row r="234" spans="2:87" x14ac:dyDescent="0.25"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4"/>
      <c r="CC234" s="24"/>
      <c r="CD234" s="24"/>
      <c r="CE234" s="24"/>
      <c r="CF234" s="24"/>
      <c r="CG234" s="24"/>
      <c r="CH234" s="24"/>
      <c r="CI234" s="24"/>
    </row>
    <row r="235" spans="2:87" x14ac:dyDescent="0.25"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4"/>
      <c r="CA235" s="24"/>
      <c r="CB235" s="24"/>
      <c r="CC235" s="24"/>
      <c r="CD235" s="24"/>
      <c r="CE235" s="24"/>
      <c r="CF235" s="24"/>
      <c r="CG235" s="24"/>
      <c r="CH235" s="24"/>
      <c r="CI235" s="24"/>
    </row>
    <row r="236" spans="2:87" x14ac:dyDescent="0.25"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4"/>
      <c r="CA236" s="24"/>
      <c r="CB236" s="24"/>
      <c r="CC236" s="24"/>
      <c r="CD236" s="24"/>
      <c r="CE236" s="24"/>
      <c r="CF236" s="24"/>
      <c r="CG236" s="24"/>
      <c r="CH236" s="24"/>
      <c r="CI236" s="24"/>
    </row>
    <row r="237" spans="2:87" x14ac:dyDescent="0.25"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4"/>
      <c r="CA237" s="24"/>
      <c r="CB237" s="24"/>
      <c r="CC237" s="24"/>
      <c r="CD237" s="24"/>
      <c r="CE237" s="24"/>
      <c r="CF237" s="24"/>
      <c r="CG237" s="24"/>
      <c r="CH237" s="24"/>
      <c r="CI237" s="24"/>
    </row>
    <row r="238" spans="2:87" x14ac:dyDescent="0.25"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/>
      <c r="CD238" s="24"/>
      <c r="CE238" s="24"/>
      <c r="CF238" s="24"/>
      <c r="CG238" s="24"/>
      <c r="CH238" s="24"/>
      <c r="CI238" s="24"/>
    </row>
    <row r="239" spans="2:87" x14ac:dyDescent="0.25"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24"/>
      <c r="CD239" s="24"/>
      <c r="CE239" s="24"/>
      <c r="CF239" s="24"/>
      <c r="CG239" s="24"/>
      <c r="CH239" s="24"/>
      <c r="CI239" s="24"/>
    </row>
    <row r="240" spans="2:87" x14ac:dyDescent="0.25"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  <c r="CD240" s="24"/>
      <c r="CE240" s="24"/>
      <c r="CF240" s="24"/>
      <c r="CG240" s="24"/>
      <c r="CH240" s="24"/>
      <c r="CI240" s="24"/>
    </row>
    <row r="241" spans="2:87" x14ac:dyDescent="0.25"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24"/>
      <c r="CD241" s="24"/>
      <c r="CE241" s="24"/>
      <c r="CF241" s="24"/>
      <c r="CG241" s="24"/>
      <c r="CH241" s="24"/>
      <c r="CI241" s="24"/>
    </row>
    <row r="242" spans="2:87" x14ac:dyDescent="0.25"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/>
      <c r="CD242" s="24"/>
      <c r="CE242" s="24"/>
      <c r="CF242" s="24"/>
      <c r="CG242" s="24"/>
      <c r="CH242" s="24"/>
      <c r="CI242" s="24"/>
    </row>
    <row r="243" spans="2:87" x14ac:dyDescent="0.25"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4"/>
      <c r="CA243" s="24"/>
      <c r="CB243" s="24"/>
      <c r="CC243" s="24"/>
      <c r="CD243" s="24"/>
      <c r="CE243" s="24"/>
      <c r="CF243" s="24"/>
      <c r="CG243" s="24"/>
      <c r="CH243" s="24"/>
      <c r="CI243" s="24"/>
    </row>
    <row r="244" spans="2:87" x14ac:dyDescent="0.25"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4"/>
      <c r="CA244" s="24"/>
      <c r="CB244" s="24"/>
      <c r="CC244" s="24"/>
      <c r="CD244" s="24"/>
      <c r="CE244" s="24"/>
      <c r="CF244" s="24"/>
      <c r="CG244" s="24"/>
      <c r="CH244" s="24"/>
      <c r="CI244" s="24"/>
    </row>
    <row r="245" spans="2:87" x14ac:dyDescent="0.25"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B245" s="24"/>
      <c r="CC245" s="24"/>
      <c r="CD245" s="24"/>
      <c r="CE245" s="24"/>
      <c r="CF245" s="24"/>
      <c r="CG245" s="24"/>
      <c r="CH245" s="24"/>
      <c r="CI245" s="24"/>
    </row>
    <row r="246" spans="2:87" x14ac:dyDescent="0.25"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  <c r="CA246" s="24"/>
      <c r="CB246" s="24"/>
      <c r="CC246" s="24"/>
      <c r="CD246" s="24"/>
      <c r="CE246" s="24"/>
      <c r="CF246" s="24"/>
      <c r="CG246" s="24"/>
      <c r="CH246" s="24"/>
      <c r="CI246" s="24"/>
    </row>
    <row r="247" spans="2:87" x14ac:dyDescent="0.25"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4"/>
      <c r="CA247" s="24"/>
      <c r="CB247" s="24"/>
      <c r="CC247" s="24"/>
      <c r="CD247" s="24"/>
      <c r="CE247" s="24"/>
      <c r="CF247" s="24"/>
      <c r="CG247" s="24"/>
      <c r="CH247" s="24"/>
      <c r="CI247" s="24"/>
    </row>
    <row r="248" spans="2:87" x14ac:dyDescent="0.25"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4"/>
      <c r="CC248" s="24"/>
      <c r="CD248" s="24"/>
      <c r="CE248" s="24"/>
      <c r="CF248" s="24"/>
      <c r="CG248" s="24"/>
      <c r="CH248" s="24"/>
      <c r="CI248" s="24"/>
    </row>
    <row r="249" spans="2:87" x14ac:dyDescent="0.25"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B249" s="24"/>
      <c r="CC249" s="24"/>
      <c r="CD249" s="24"/>
      <c r="CE249" s="24"/>
      <c r="CF249" s="24"/>
      <c r="CG249" s="24"/>
      <c r="CH249" s="24"/>
      <c r="CI249" s="24"/>
    </row>
    <row r="250" spans="2:87" x14ac:dyDescent="0.25"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/>
      <c r="CD250" s="24"/>
      <c r="CE250" s="24"/>
      <c r="CF250" s="24"/>
      <c r="CG250" s="24"/>
      <c r="CH250" s="24"/>
      <c r="CI250" s="24"/>
    </row>
    <row r="251" spans="2:87" x14ac:dyDescent="0.25"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24"/>
      <c r="CD251" s="24"/>
      <c r="CE251" s="24"/>
      <c r="CF251" s="24"/>
      <c r="CG251" s="24"/>
      <c r="CH251" s="24"/>
      <c r="CI251" s="24"/>
    </row>
    <row r="252" spans="2:87" x14ac:dyDescent="0.25"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  <c r="CA252" s="24"/>
      <c r="CB252" s="24"/>
      <c r="CC252" s="24"/>
      <c r="CD252" s="24"/>
      <c r="CE252" s="24"/>
      <c r="CF252" s="24"/>
      <c r="CG252" s="24"/>
      <c r="CH252" s="24"/>
      <c r="CI252" s="24"/>
    </row>
    <row r="253" spans="2:87" x14ac:dyDescent="0.25"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4"/>
      <c r="CA253" s="24"/>
      <c r="CB253" s="24"/>
      <c r="CC253" s="24"/>
      <c r="CD253" s="24"/>
      <c r="CE253" s="24"/>
      <c r="CF253" s="24"/>
      <c r="CG253" s="24"/>
      <c r="CH253" s="24"/>
      <c r="CI253" s="24"/>
    </row>
    <row r="254" spans="2:87" x14ac:dyDescent="0.25"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24"/>
      <c r="CD254" s="24"/>
      <c r="CE254" s="24"/>
      <c r="CF254" s="24"/>
      <c r="CG254" s="24"/>
      <c r="CH254" s="24"/>
      <c r="CI254" s="24"/>
    </row>
    <row r="255" spans="2:87" x14ac:dyDescent="0.25"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4"/>
      <c r="CA255" s="24"/>
      <c r="CB255" s="24"/>
      <c r="CC255" s="24"/>
      <c r="CD255" s="24"/>
      <c r="CE255" s="24"/>
      <c r="CF255" s="24"/>
      <c r="CG255" s="24"/>
      <c r="CH255" s="24"/>
      <c r="CI255" s="24"/>
    </row>
    <row r="256" spans="2:87" x14ac:dyDescent="0.25"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4"/>
      <c r="CA256" s="24"/>
      <c r="CB256" s="24"/>
      <c r="CC256" s="24"/>
      <c r="CD256" s="24"/>
      <c r="CE256" s="24"/>
      <c r="CF256" s="24"/>
      <c r="CG256" s="24"/>
      <c r="CH256" s="24"/>
      <c r="CI256" s="24"/>
    </row>
    <row r="257" spans="2:87" x14ac:dyDescent="0.25"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24"/>
      <c r="CD257" s="24"/>
      <c r="CE257" s="24"/>
      <c r="CF257" s="24"/>
      <c r="CG257" s="24"/>
      <c r="CH257" s="24"/>
      <c r="CI257" s="24"/>
    </row>
    <row r="258" spans="2:87" x14ac:dyDescent="0.25"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4"/>
      <c r="CA258" s="24"/>
      <c r="CB258" s="24"/>
      <c r="CC258" s="24"/>
      <c r="CD258" s="24"/>
      <c r="CE258" s="24"/>
      <c r="CF258" s="24"/>
      <c r="CG258" s="24"/>
      <c r="CH258" s="24"/>
      <c r="CI258" s="24"/>
    </row>
    <row r="259" spans="2:87" x14ac:dyDescent="0.2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4"/>
      <c r="CA259" s="24"/>
      <c r="CB259" s="24"/>
      <c r="CC259" s="24"/>
      <c r="CD259" s="24"/>
      <c r="CE259" s="24"/>
      <c r="CF259" s="24"/>
      <c r="CG259" s="24"/>
      <c r="CH259" s="24"/>
      <c r="CI259" s="24"/>
    </row>
    <row r="260" spans="2:87" x14ac:dyDescent="0.25"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4"/>
      <c r="CA260" s="24"/>
      <c r="CB260" s="24"/>
      <c r="CC260" s="24"/>
      <c r="CD260" s="24"/>
      <c r="CE260" s="24"/>
      <c r="CF260" s="24"/>
      <c r="CG260" s="24"/>
      <c r="CH260" s="24"/>
      <c r="CI260" s="24"/>
    </row>
    <row r="261" spans="2:87" x14ac:dyDescent="0.25"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4"/>
      <c r="CA261" s="24"/>
      <c r="CB261" s="24"/>
      <c r="CC261" s="24"/>
      <c r="CD261" s="24"/>
      <c r="CE261" s="24"/>
      <c r="CF261" s="24"/>
      <c r="CG261" s="24"/>
      <c r="CH261" s="24"/>
      <c r="CI261" s="24"/>
    </row>
    <row r="262" spans="2:87" x14ac:dyDescent="0.25"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4"/>
      <c r="CA262" s="24"/>
      <c r="CB262" s="24"/>
      <c r="CC262" s="24"/>
      <c r="CD262" s="24"/>
      <c r="CE262" s="24"/>
      <c r="CF262" s="24"/>
      <c r="CG262" s="24"/>
      <c r="CH262" s="24"/>
      <c r="CI262" s="24"/>
    </row>
    <row r="263" spans="2:87" x14ac:dyDescent="0.25"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4"/>
      <c r="CA263" s="24"/>
      <c r="CB263" s="24"/>
      <c r="CC263" s="24"/>
      <c r="CD263" s="24"/>
      <c r="CE263" s="24"/>
      <c r="CF263" s="24"/>
      <c r="CG263" s="24"/>
      <c r="CH263" s="24"/>
      <c r="CI263" s="24"/>
    </row>
    <row r="264" spans="2:87" x14ac:dyDescent="0.25"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I264" s="24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4"/>
      <c r="CA264" s="24"/>
      <c r="CB264" s="24"/>
      <c r="CC264" s="24"/>
      <c r="CD264" s="24"/>
      <c r="CE264" s="24"/>
      <c r="CF264" s="24"/>
      <c r="CG264" s="24"/>
      <c r="CH264" s="24"/>
      <c r="CI264" s="24"/>
    </row>
    <row r="265" spans="2:87" x14ac:dyDescent="0.25"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I265" s="24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4"/>
      <c r="CA265" s="24"/>
      <c r="CB265" s="24"/>
      <c r="CC265" s="24"/>
      <c r="CD265" s="24"/>
      <c r="CE265" s="24"/>
      <c r="CF265" s="24"/>
      <c r="CG265" s="24"/>
      <c r="CH265" s="24"/>
      <c r="CI265" s="24"/>
    </row>
    <row r="266" spans="2:87" x14ac:dyDescent="0.25"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I266" s="24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4"/>
      <c r="CA266" s="24"/>
      <c r="CB266" s="24"/>
      <c r="CC266" s="24"/>
      <c r="CD266" s="24"/>
      <c r="CE266" s="24"/>
      <c r="CF266" s="24"/>
      <c r="CG266" s="24"/>
      <c r="CH266" s="24"/>
      <c r="CI266" s="24"/>
    </row>
    <row r="267" spans="2:87" x14ac:dyDescent="0.25"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I267" s="24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4"/>
      <c r="CA267" s="24"/>
      <c r="CB267" s="24"/>
      <c r="CC267" s="24"/>
      <c r="CD267" s="24"/>
      <c r="CE267" s="24"/>
      <c r="CF267" s="24"/>
      <c r="CG267" s="24"/>
      <c r="CH267" s="24"/>
      <c r="CI267" s="24"/>
    </row>
    <row r="268" spans="2:87" x14ac:dyDescent="0.25"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I268" s="24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  <c r="BY268" s="24"/>
      <c r="BZ268" s="24"/>
      <c r="CA268" s="24"/>
      <c r="CB268" s="24"/>
      <c r="CC268" s="24"/>
      <c r="CD268" s="24"/>
      <c r="CE268" s="24"/>
      <c r="CF268" s="24"/>
      <c r="CG268" s="24"/>
      <c r="CH268" s="24"/>
      <c r="CI268" s="24"/>
    </row>
    <row r="269" spans="2:87" x14ac:dyDescent="0.25"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I269" s="24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4"/>
      <c r="CA269" s="24"/>
      <c r="CB269" s="24"/>
      <c r="CC269" s="24"/>
      <c r="CD269" s="24"/>
      <c r="CE269" s="24"/>
      <c r="CF269" s="24"/>
      <c r="CG269" s="24"/>
      <c r="CH269" s="24"/>
      <c r="CI269" s="24"/>
    </row>
    <row r="270" spans="2:87" x14ac:dyDescent="0.25"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I270" s="24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4"/>
      <c r="CA270" s="24"/>
      <c r="CB270" s="24"/>
      <c r="CC270" s="24"/>
      <c r="CD270" s="24"/>
      <c r="CE270" s="24"/>
      <c r="CF270" s="24"/>
      <c r="CG270" s="24"/>
      <c r="CH270" s="24"/>
      <c r="CI270" s="24"/>
    </row>
    <row r="271" spans="2:87" x14ac:dyDescent="0.25"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I271" s="24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4"/>
      <c r="CA271" s="24"/>
      <c r="CB271" s="24"/>
      <c r="CC271" s="24"/>
      <c r="CD271" s="24"/>
      <c r="CE271" s="24"/>
      <c r="CF271" s="24"/>
      <c r="CG271" s="24"/>
      <c r="CH271" s="24"/>
      <c r="CI271" s="24"/>
    </row>
    <row r="272" spans="2:87" x14ac:dyDescent="0.25"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I272" s="24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4"/>
      <c r="CA272" s="24"/>
      <c r="CB272" s="24"/>
      <c r="CC272" s="24"/>
      <c r="CD272" s="24"/>
      <c r="CE272" s="24"/>
      <c r="CF272" s="24"/>
      <c r="CG272" s="24"/>
      <c r="CH272" s="24"/>
      <c r="CI272" s="24"/>
    </row>
    <row r="273" spans="2:87" x14ac:dyDescent="0.25"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I273" s="24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4"/>
      <c r="BZ273" s="24"/>
      <c r="CA273" s="24"/>
      <c r="CB273" s="24"/>
      <c r="CC273" s="24"/>
      <c r="CD273" s="24"/>
      <c r="CE273" s="24"/>
      <c r="CF273" s="24"/>
      <c r="CG273" s="24"/>
      <c r="CH273" s="24"/>
      <c r="CI273" s="24"/>
    </row>
    <row r="274" spans="2:87" x14ac:dyDescent="0.25"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I274" s="24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4"/>
      <c r="BZ274" s="24"/>
      <c r="CA274" s="24"/>
      <c r="CB274" s="24"/>
      <c r="CC274" s="24"/>
      <c r="CD274" s="24"/>
      <c r="CE274" s="24"/>
      <c r="CF274" s="24"/>
      <c r="CG274" s="24"/>
      <c r="CH274" s="24"/>
      <c r="CI274" s="24"/>
    </row>
    <row r="275" spans="2:87" x14ac:dyDescent="0.25"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4"/>
      <c r="CA275" s="24"/>
      <c r="CB275" s="24"/>
      <c r="CC275" s="24"/>
      <c r="CD275" s="24"/>
      <c r="CE275" s="24"/>
      <c r="CF275" s="24"/>
      <c r="CG275" s="24"/>
      <c r="CH275" s="24"/>
      <c r="CI275" s="24"/>
    </row>
    <row r="276" spans="2:87" x14ac:dyDescent="0.25"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I276" s="24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4"/>
      <c r="CA276" s="24"/>
      <c r="CB276" s="24"/>
      <c r="CC276" s="24"/>
      <c r="CD276" s="24"/>
      <c r="CE276" s="24"/>
      <c r="CF276" s="24"/>
      <c r="CG276" s="24"/>
      <c r="CH276" s="24"/>
      <c r="CI276" s="24"/>
    </row>
    <row r="277" spans="2:87" x14ac:dyDescent="0.25"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I277" s="24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4"/>
      <c r="BZ277" s="24"/>
      <c r="CA277" s="24"/>
      <c r="CB277" s="24"/>
      <c r="CC277" s="24"/>
      <c r="CD277" s="24"/>
      <c r="CE277" s="24"/>
      <c r="CF277" s="24"/>
      <c r="CG277" s="24"/>
      <c r="CH277" s="24"/>
      <c r="CI277" s="24"/>
    </row>
    <row r="278" spans="2:87" x14ac:dyDescent="0.25"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4"/>
      <c r="CA278" s="24"/>
      <c r="CB278" s="24"/>
      <c r="CC278" s="24"/>
      <c r="CD278" s="24"/>
      <c r="CE278" s="24"/>
      <c r="CF278" s="24"/>
      <c r="CG278" s="24"/>
      <c r="CH278" s="24"/>
      <c r="CI278" s="24"/>
    </row>
    <row r="279" spans="2:87" x14ac:dyDescent="0.25"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I279" s="24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4"/>
      <c r="CA279" s="24"/>
      <c r="CB279" s="24"/>
      <c r="CC279" s="24"/>
      <c r="CD279" s="24"/>
      <c r="CE279" s="24"/>
      <c r="CF279" s="24"/>
      <c r="CG279" s="24"/>
      <c r="CH279" s="24"/>
      <c r="CI279" s="24"/>
    </row>
    <row r="280" spans="2:87" x14ac:dyDescent="0.25"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4"/>
      <c r="CA280" s="24"/>
      <c r="CB280" s="24"/>
      <c r="CC280" s="24"/>
      <c r="CD280" s="24"/>
      <c r="CE280" s="24"/>
      <c r="CF280" s="24"/>
      <c r="CG280" s="24"/>
      <c r="CH280" s="24"/>
      <c r="CI280" s="24"/>
    </row>
    <row r="281" spans="2:87" x14ac:dyDescent="0.25"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4"/>
      <c r="CA281" s="24"/>
      <c r="CB281" s="24"/>
      <c r="CC281" s="24"/>
      <c r="CD281" s="24"/>
      <c r="CE281" s="24"/>
      <c r="CF281" s="24"/>
      <c r="CG281" s="24"/>
      <c r="CH281" s="24"/>
      <c r="CI281" s="24"/>
    </row>
    <row r="282" spans="2:87" x14ac:dyDescent="0.25"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4"/>
      <c r="CA282" s="24"/>
      <c r="CB282" s="24"/>
      <c r="CC282" s="24"/>
      <c r="CD282" s="24"/>
      <c r="CE282" s="24"/>
      <c r="CF282" s="24"/>
      <c r="CG282" s="24"/>
      <c r="CH282" s="24"/>
      <c r="CI282" s="24"/>
    </row>
    <row r="283" spans="2:87" x14ac:dyDescent="0.25"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4"/>
      <c r="CA283" s="24"/>
      <c r="CB283" s="24"/>
      <c r="CC283" s="24"/>
      <c r="CD283" s="24"/>
      <c r="CE283" s="24"/>
      <c r="CF283" s="24"/>
      <c r="CG283" s="24"/>
      <c r="CH283" s="24"/>
      <c r="CI283" s="24"/>
    </row>
    <row r="284" spans="2:87" x14ac:dyDescent="0.25"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I284" s="24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4"/>
      <c r="CA284" s="24"/>
      <c r="CB284" s="24"/>
      <c r="CC284" s="24"/>
      <c r="CD284" s="24"/>
      <c r="CE284" s="24"/>
      <c r="CF284" s="24"/>
      <c r="CG284" s="24"/>
      <c r="CH284" s="24"/>
      <c r="CI284" s="24"/>
    </row>
    <row r="285" spans="2:87" x14ac:dyDescent="0.25"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I285" s="24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4"/>
      <c r="CA285" s="24"/>
      <c r="CB285" s="24"/>
      <c r="CC285" s="24"/>
      <c r="CD285" s="24"/>
      <c r="CE285" s="24"/>
      <c r="CF285" s="24"/>
      <c r="CG285" s="24"/>
      <c r="CH285" s="24"/>
      <c r="CI285" s="24"/>
    </row>
    <row r="286" spans="2:87" x14ac:dyDescent="0.25"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I286" s="24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4"/>
      <c r="BZ286" s="24"/>
      <c r="CA286" s="24"/>
      <c r="CB286" s="24"/>
      <c r="CC286" s="24"/>
      <c r="CD286" s="24"/>
      <c r="CE286" s="24"/>
      <c r="CF286" s="24"/>
      <c r="CG286" s="24"/>
      <c r="CH286" s="24"/>
      <c r="CI286" s="24"/>
    </row>
    <row r="287" spans="2:87" x14ac:dyDescent="0.25"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4"/>
      <c r="CA287" s="24"/>
      <c r="CB287" s="24"/>
      <c r="CC287" s="24"/>
      <c r="CD287" s="24"/>
      <c r="CE287" s="24"/>
      <c r="CF287" s="24"/>
      <c r="CG287" s="24"/>
      <c r="CH287" s="24"/>
      <c r="CI287" s="24"/>
    </row>
    <row r="288" spans="2:87" x14ac:dyDescent="0.25"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I288" s="24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4"/>
      <c r="CA288" s="24"/>
      <c r="CB288" s="24"/>
      <c r="CC288" s="24"/>
      <c r="CD288" s="24"/>
      <c r="CE288" s="24"/>
      <c r="CF288" s="24"/>
      <c r="CG288" s="24"/>
      <c r="CH288" s="24"/>
      <c r="CI288" s="24"/>
    </row>
    <row r="289" spans="2:87" x14ac:dyDescent="0.25"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I289" s="24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4"/>
      <c r="CA289" s="24"/>
      <c r="CB289" s="24"/>
      <c r="CC289" s="24"/>
      <c r="CD289" s="24"/>
      <c r="CE289" s="24"/>
      <c r="CF289" s="24"/>
      <c r="CG289" s="24"/>
      <c r="CH289" s="24"/>
      <c r="CI289" s="24"/>
    </row>
    <row r="290" spans="2:87" x14ac:dyDescent="0.25"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I290" s="24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4"/>
      <c r="CA290" s="24"/>
      <c r="CB290" s="24"/>
      <c r="CC290" s="24"/>
      <c r="CD290" s="24"/>
      <c r="CE290" s="24"/>
      <c r="CF290" s="24"/>
      <c r="CG290" s="24"/>
      <c r="CH290" s="24"/>
      <c r="CI290" s="24"/>
    </row>
    <row r="291" spans="2:87" x14ac:dyDescent="0.25"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I291" s="24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4"/>
      <c r="CA291" s="24"/>
      <c r="CB291" s="24"/>
      <c r="CC291" s="24"/>
      <c r="CD291" s="24"/>
      <c r="CE291" s="24"/>
      <c r="CF291" s="24"/>
      <c r="CG291" s="24"/>
      <c r="CH291" s="24"/>
      <c r="CI291" s="24"/>
    </row>
    <row r="292" spans="2:87" x14ac:dyDescent="0.25"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I292" s="24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4"/>
      <c r="CA292" s="24"/>
      <c r="CB292" s="24"/>
      <c r="CC292" s="24"/>
      <c r="CD292" s="24"/>
      <c r="CE292" s="24"/>
      <c r="CF292" s="24"/>
      <c r="CG292" s="24"/>
      <c r="CH292" s="24"/>
      <c r="CI292" s="24"/>
    </row>
    <row r="293" spans="2:87" x14ac:dyDescent="0.25"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I293" s="24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4"/>
      <c r="BZ293" s="24"/>
      <c r="CA293" s="24"/>
      <c r="CB293" s="24"/>
      <c r="CC293" s="24"/>
      <c r="CD293" s="24"/>
      <c r="CE293" s="24"/>
      <c r="CF293" s="24"/>
      <c r="CG293" s="24"/>
      <c r="CH293" s="24"/>
      <c r="CI293" s="24"/>
    </row>
    <row r="294" spans="2:87" x14ac:dyDescent="0.25"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I294" s="24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4"/>
      <c r="CA294" s="24"/>
      <c r="CB294" s="24"/>
      <c r="CC294" s="24"/>
      <c r="CD294" s="24"/>
      <c r="CE294" s="24"/>
      <c r="CF294" s="24"/>
      <c r="CG294" s="24"/>
      <c r="CH294" s="24"/>
      <c r="CI294" s="24"/>
    </row>
    <row r="295" spans="2:87" x14ac:dyDescent="0.25"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  <c r="BH295" s="24"/>
      <c r="BI295" s="24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4"/>
      <c r="BZ295" s="24"/>
      <c r="CA295" s="24"/>
      <c r="CB295" s="24"/>
      <c r="CC295" s="24"/>
      <c r="CD295" s="24"/>
      <c r="CE295" s="24"/>
      <c r="CF295" s="24"/>
      <c r="CG295" s="24"/>
      <c r="CH295" s="24"/>
      <c r="CI295" s="24"/>
    </row>
    <row r="296" spans="2:87" x14ac:dyDescent="0.25"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I296" s="24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4"/>
      <c r="BZ296" s="24"/>
      <c r="CA296" s="24"/>
      <c r="CB296" s="24"/>
      <c r="CC296" s="24"/>
      <c r="CD296" s="24"/>
      <c r="CE296" s="24"/>
      <c r="CF296" s="24"/>
      <c r="CG296" s="24"/>
      <c r="CH296" s="24"/>
      <c r="CI296" s="24"/>
    </row>
    <row r="297" spans="2:87" x14ac:dyDescent="0.25"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I297" s="24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4"/>
      <c r="CA297" s="24"/>
      <c r="CB297" s="24"/>
      <c r="CC297" s="24"/>
      <c r="CD297" s="24"/>
      <c r="CE297" s="24"/>
      <c r="CF297" s="24"/>
      <c r="CG297" s="24"/>
      <c r="CH297" s="24"/>
      <c r="CI297" s="24"/>
    </row>
    <row r="298" spans="2:87" x14ac:dyDescent="0.25"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I298" s="24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4"/>
      <c r="CA298" s="24"/>
      <c r="CB298" s="24"/>
      <c r="CC298" s="24"/>
      <c r="CD298" s="24"/>
      <c r="CE298" s="24"/>
      <c r="CF298" s="24"/>
      <c r="CG298" s="24"/>
      <c r="CH298" s="24"/>
      <c r="CI298" s="24"/>
    </row>
    <row r="299" spans="2:87" x14ac:dyDescent="0.25"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I299" s="24"/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4"/>
      <c r="BZ299" s="24"/>
      <c r="CA299" s="24"/>
      <c r="CB299" s="24"/>
      <c r="CC299" s="24"/>
      <c r="CD299" s="24"/>
      <c r="CE299" s="24"/>
      <c r="CF299" s="24"/>
      <c r="CG299" s="24"/>
      <c r="CH299" s="24"/>
      <c r="CI299" s="24"/>
    </row>
    <row r="300" spans="2:87" x14ac:dyDescent="0.25"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I300" s="24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4"/>
      <c r="BZ300" s="24"/>
      <c r="CA300" s="24"/>
      <c r="CB300" s="24"/>
      <c r="CC300" s="24"/>
      <c r="CD300" s="24"/>
      <c r="CE300" s="24"/>
      <c r="CF300" s="24"/>
      <c r="CG300" s="24"/>
      <c r="CH300" s="24"/>
      <c r="CI300" s="24"/>
    </row>
    <row r="301" spans="2:87" x14ac:dyDescent="0.25"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I301" s="24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4"/>
      <c r="CA301" s="24"/>
      <c r="CB301" s="24"/>
      <c r="CC301" s="24"/>
      <c r="CD301" s="24"/>
      <c r="CE301" s="24"/>
      <c r="CF301" s="24"/>
      <c r="CG301" s="24"/>
      <c r="CH301" s="24"/>
      <c r="CI301" s="24"/>
    </row>
    <row r="302" spans="2:87" x14ac:dyDescent="0.25"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I302" s="24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4"/>
      <c r="BZ302" s="24"/>
      <c r="CA302" s="24"/>
      <c r="CB302" s="24"/>
      <c r="CC302" s="24"/>
      <c r="CD302" s="24"/>
      <c r="CE302" s="24"/>
      <c r="CF302" s="24"/>
      <c r="CG302" s="24"/>
      <c r="CH302" s="24"/>
      <c r="CI302" s="24"/>
    </row>
    <row r="303" spans="2:87" x14ac:dyDescent="0.25"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4"/>
      <c r="CA303" s="24"/>
      <c r="CB303" s="24"/>
      <c r="CC303" s="24"/>
      <c r="CD303" s="24"/>
      <c r="CE303" s="24"/>
      <c r="CF303" s="24"/>
      <c r="CG303" s="24"/>
      <c r="CH303" s="24"/>
      <c r="CI303" s="24"/>
    </row>
    <row r="304" spans="2:87" x14ac:dyDescent="0.25"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I304" s="24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4"/>
      <c r="BZ304" s="24"/>
      <c r="CA304" s="24"/>
      <c r="CB304" s="24"/>
      <c r="CC304" s="24"/>
      <c r="CD304" s="24"/>
      <c r="CE304" s="24"/>
      <c r="CF304" s="24"/>
      <c r="CG304" s="24"/>
      <c r="CH304" s="24"/>
      <c r="CI304" s="24"/>
    </row>
    <row r="305" spans="2:87" x14ac:dyDescent="0.25"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I305" s="24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4"/>
      <c r="CA305" s="24"/>
      <c r="CB305" s="24"/>
      <c r="CC305" s="24"/>
      <c r="CD305" s="24"/>
      <c r="CE305" s="24"/>
      <c r="CF305" s="24"/>
      <c r="CG305" s="24"/>
      <c r="CH305" s="24"/>
      <c r="CI305" s="24"/>
    </row>
    <row r="306" spans="2:87" x14ac:dyDescent="0.25"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I306" s="24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  <c r="BY306" s="24"/>
      <c r="BZ306" s="24"/>
      <c r="CA306" s="24"/>
      <c r="CB306" s="24"/>
      <c r="CC306" s="24"/>
      <c r="CD306" s="24"/>
      <c r="CE306" s="24"/>
      <c r="CF306" s="24"/>
      <c r="CG306" s="24"/>
      <c r="CH306" s="24"/>
      <c r="CI306" s="24"/>
    </row>
    <row r="307" spans="2:87" x14ac:dyDescent="0.25"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I307" s="24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4"/>
      <c r="CA307" s="24"/>
      <c r="CB307" s="24"/>
      <c r="CC307" s="24"/>
      <c r="CD307" s="24"/>
      <c r="CE307" s="24"/>
      <c r="CF307" s="24"/>
      <c r="CG307" s="24"/>
      <c r="CH307" s="24"/>
      <c r="CI307" s="24"/>
    </row>
    <row r="308" spans="2:87" x14ac:dyDescent="0.25"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I308" s="24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4"/>
      <c r="CA308" s="24"/>
      <c r="CB308" s="24"/>
      <c r="CC308" s="24"/>
      <c r="CD308" s="24"/>
      <c r="CE308" s="24"/>
      <c r="CF308" s="24"/>
      <c r="CG308" s="24"/>
      <c r="CH308" s="24"/>
      <c r="CI308" s="24"/>
    </row>
    <row r="309" spans="2:87" x14ac:dyDescent="0.25"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I309" s="24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4"/>
      <c r="CA309" s="24"/>
      <c r="CB309" s="24"/>
      <c r="CC309" s="24"/>
      <c r="CD309" s="24"/>
      <c r="CE309" s="24"/>
      <c r="CF309" s="24"/>
      <c r="CG309" s="24"/>
      <c r="CH309" s="24"/>
      <c r="CI309" s="24"/>
    </row>
    <row r="310" spans="2:87" x14ac:dyDescent="0.25"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  <c r="BI310" s="24"/>
      <c r="BJ310" s="24"/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4"/>
      <c r="BZ310" s="24"/>
      <c r="CA310" s="24"/>
      <c r="CB310" s="24"/>
      <c r="CC310" s="24"/>
      <c r="CD310" s="24"/>
      <c r="CE310" s="24"/>
      <c r="CF310" s="24"/>
      <c r="CG310" s="24"/>
      <c r="CH310" s="24"/>
      <c r="CI310" s="24"/>
    </row>
    <row r="311" spans="2:87" x14ac:dyDescent="0.25"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I311" s="24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4"/>
      <c r="CA311" s="24"/>
      <c r="CB311" s="24"/>
      <c r="CC311" s="24"/>
      <c r="CD311" s="24"/>
      <c r="CE311" s="24"/>
      <c r="CF311" s="24"/>
      <c r="CG311" s="24"/>
      <c r="CH311" s="24"/>
      <c r="CI311" s="24"/>
    </row>
    <row r="312" spans="2:87" x14ac:dyDescent="0.25"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I312" s="24"/>
      <c r="BJ312" s="24"/>
      <c r="BK312" s="24"/>
      <c r="BL312" s="24"/>
      <c r="BM312" s="24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  <c r="BY312" s="24"/>
      <c r="BZ312" s="24"/>
      <c r="CA312" s="24"/>
      <c r="CB312" s="24"/>
      <c r="CC312" s="24"/>
      <c r="CD312" s="24"/>
      <c r="CE312" s="24"/>
      <c r="CF312" s="24"/>
      <c r="CG312" s="24"/>
      <c r="CH312" s="24"/>
      <c r="CI312" s="24"/>
    </row>
    <row r="313" spans="2:87" x14ac:dyDescent="0.25"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I313" s="24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4"/>
      <c r="CA313" s="24"/>
      <c r="CB313" s="24"/>
      <c r="CC313" s="24"/>
      <c r="CD313" s="24"/>
      <c r="CE313" s="24"/>
      <c r="CF313" s="24"/>
      <c r="CG313" s="24"/>
      <c r="CH313" s="24"/>
      <c r="CI313" s="24"/>
    </row>
    <row r="314" spans="2:87" x14ac:dyDescent="0.25"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I314" s="24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4"/>
      <c r="BZ314" s="24"/>
      <c r="CA314" s="24"/>
      <c r="CB314" s="24"/>
      <c r="CC314" s="24"/>
      <c r="CD314" s="24"/>
      <c r="CE314" s="24"/>
      <c r="CF314" s="24"/>
      <c r="CG314" s="24"/>
      <c r="CH314" s="24"/>
      <c r="CI314" s="24"/>
    </row>
    <row r="315" spans="2:87" x14ac:dyDescent="0.25"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  <c r="BI315" s="24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4"/>
      <c r="CA315" s="24"/>
      <c r="CB315" s="24"/>
      <c r="CC315" s="24"/>
      <c r="CD315" s="24"/>
      <c r="CE315" s="24"/>
      <c r="CF315" s="24"/>
      <c r="CG315" s="24"/>
      <c r="CH315" s="24"/>
      <c r="CI315" s="24"/>
    </row>
    <row r="316" spans="2:87" x14ac:dyDescent="0.25"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I316" s="24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4"/>
      <c r="CA316" s="24"/>
      <c r="CB316" s="24"/>
      <c r="CC316" s="24"/>
      <c r="CD316" s="24"/>
      <c r="CE316" s="24"/>
      <c r="CF316" s="24"/>
      <c r="CG316" s="24"/>
      <c r="CH316" s="24"/>
      <c r="CI316" s="24"/>
    </row>
    <row r="317" spans="2:87" x14ac:dyDescent="0.25"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4"/>
      <c r="CA317" s="24"/>
      <c r="CB317" s="24"/>
      <c r="CC317" s="24"/>
      <c r="CD317" s="24"/>
      <c r="CE317" s="24"/>
      <c r="CF317" s="24"/>
      <c r="CG317" s="24"/>
      <c r="CH317" s="24"/>
      <c r="CI317" s="24"/>
    </row>
    <row r="318" spans="2:87" x14ac:dyDescent="0.25"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4"/>
      <c r="CA318" s="24"/>
      <c r="CB318" s="24"/>
      <c r="CC318" s="24"/>
      <c r="CD318" s="24"/>
      <c r="CE318" s="24"/>
      <c r="CF318" s="24"/>
      <c r="CG318" s="24"/>
      <c r="CH318" s="24"/>
      <c r="CI318" s="24"/>
    </row>
    <row r="319" spans="2:87" x14ac:dyDescent="0.25"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4"/>
      <c r="CA319" s="24"/>
      <c r="CB319" s="24"/>
      <c r="CC319" s="24"/>
      <c r="CD319" s="24"/>
      <c r="CE319" s="24"/>
      <c r="CF319" s="24"/>
      <c r="CG319" s="24"/>
      <c r="CH319" s="24"/>
      <c r="CI319" s="24"/>
    </row>
    <row r="320" spans="2:87" x14ac:dyDescent="0.25"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I320" s="24"/>
      <c r="BJ320" s="24"/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  <c r="BY320" s="24"/>
      <c r="BZ320" s="24"/>
      <c r="CA320" s="24"/>
      <c r="CB320" s="24"/>
      <c r="CC320" s="24"/>
      <c r="CD320" s="24"/>
      <c r="CE320" s="24"/>
      <c r="CF320" s="24"/>
      <c r="CG320" s="24"/>
      <c r="CH320" s="24"/>
      <c r="CI320" s="24"/>
    </row>
    <row r="321" spans="2:87" x14ac:dyDescent="0.25"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I321" s="24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4"/>
      <c r="CA321" s="24"/>
      <c r="CB321" s="24"/>
      <c r="CC321" s="24"/>
      <c r="CD321" s="24"/>
      <c r="CE321" s="24"/>
      <c r="CF321" s="24"/>
      <c r="CG321" s="24"/>
      <c r="CH321" s="24"/>
      <c r="CI321" s="24"/>
    </row>
    <row r="322" spans="2:87" x14ac:dyDescent="0.25"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4"/>
      <c r="BZ322" s="24"/>
      <c r="CA322" s="24"/>
      <c r="CB322" s="24"/>
      <c r="CC322" s="24"/>
      <c r="CD322" s="24"/>
      <c r="CE322" s="24"/>
      <c r="CF322" s="24"/>
      <c r="CG322" s="24"/>
      <c r="CH322" s="24"/>
      <c r="CI322" s="24"/>
    </row>
    <row r="323" spans="2:87" x14ac:dyDescent="0.25"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4"/>
      <c r="CA323" s="24"/>
      <c r="CB323" s="24"/>
      <c r="CC323" s="24"/>
      <c r="CD323" s="24"/>
      <c r="CE323" s="24"/>
      <c r="CF323" s="24"/>
      <c r="CG323" s="24"/>
      <c r="CH323" s="24"/>
      <c r="CI323" s="24"/>
    </row>
    <row r="324" spans="2:87" x14ac:dyDescent="0.25"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I324" s="24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  <c r="BY324" s="24"/>
      <c r="BZ324" s="24"/>
      <c r="CA324" s="24"/>
      <c r="CB324" s="24"/>
      <c r="CC324" s="24"/>
      <c r="CD324" s="24"/>
      <c r="CE324" s="24"/>
      <c r="CF324" s="24"/>
      <c r="CG324" s="24"/>
      <c r="CH324" s="24"/>
      <c r="CI324" s="24"/>
    </row>
    <row r="325" spans="2:87" x14ac:dyDescent="0.25"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I325" s="24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4"/>
      <c r="CA325" s="24"/>
      <c r="CB325" s="24"/>
      <c r="CC325" s="24"/>
      <c r="CD325" s="24"/>
      <c r="CE325" s="24"/>
      <c r="CF325" s="24"/>
      <c r="CG325" s="24"/>
      <c r="CH325" s="24"/>
      <c r="CI325" s="24"/>
    </row>
    <row r="326" spans="2:87" x14ac:dyDescent="0.25"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I326" s="24"/>
      <c r="BJ326" s="24"/>
      <c r="BK326" s="24"/>
      <c r="BL326" s="24"/>
      <c r="BM326" s="24"/>
      <c r="BN326" s="24"/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  <c r="BY326" s="24"/>
      <c r="BZ326" s="24"/>
      <c r="CA326" s="24"/>
      <c r="CB326" s="24"/>
      <c r="CC326" s="24"/>
      <c r="CD326" s="24"/>
      <c r="CE326" s="24"/>
      <c r="CF326" s="24"/>
      <c r="CG326" s="24"/>
      <c r="CH326" s="24"/>
      <c r="CI326" s="24"/>
    </row>
    <row r="327" spans="2:87" x14ac:dyDescent="0.25"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I327" s="24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4"/>
      <c r="CA327" s="24"/>
      <c r="CB327" s="24"/>
      <c r="CC327" s="24"/>
      <c r="CD327" s="24"/>
      <c r="CE327" s="24"/>
      <c r="CF327" s="24"/>
      <c r="CG327" s="24"/>
      <c r="CH327" s="24"/>
      <c r="CI327" s="24"/>
    </row>
    <row r="328" spans="2:87" x14ac:dyDescent="0.25"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  <c r="BI328" s="24"/>
      <c r="BJ328" s="24"/>
      <c r="BK328" s="24"/>
      <c r="BL328" s="24"/>
      <c r="BM328" s="24"/>
      <c r="BN328" s="24"/>
      <c r="BO328" s="24"/>
      <c r="BP328" s="24"/>
      <c r="BQ328" s="24"/>
      <c r="BR328" s="24"/>
      <c r="BS328" s="24"/>
      <c r="BT328" s="24"/>
      <c r="BU328" s="24"/>
      <c r="BV328" s="24"/>
      <c r="BW328" s="24"/>
      <c r="BX328" s="24"/>
      <c r="BY328" s="24"/>
      <c r="BZ328" s="24"/>
      <c r="CA328" s="24"/>
      <c r="CB328" s="24"/>
      <c r="CC328" s="24"/>
      <c r="CD328" s="24"/>
      <c r="CE328" s="24"/>
      <c r="CF328" s="24"/>
      <c r="CG328" s="24"/>
      <c r="CH328" s="24"/>
      <c r="CI328" s="24"/>
    </row>
    <row r="329" spans="2:87" x14ac:dyDescent="0.25"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  <c r="BI329" s="24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4"/>
      <c r="CA329" s="24"/>
      <c r="CB329" s="24"/>
      <c r="CC329" s="24"/>
      <c r="CD329" s="24"/>
      <c r="CE329" s="24"/>
      <c r="CF329" s="24"/>
      <c r="CG329" s="24"/>
      <c r="CH329" s="24"/>
      <c r="CI329" s="24"/>
    </row>
    <row r="330" spans="2:87" x14ac:dyDescent="0.25"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I330" s="24"/>
      <c r="BJ330" s="24"/>
      <c r="BK330" s="24"/>
      <c r="BL330" s="24"/>
      <c r="BM330" s="24"/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  <c r="BY330" s="24"/>
      <c r="BZ330" s="24"/>
      <c r="CA330" s="24"/>
      <c r="CB330" s="24"/>
      <c r="CC330" s="24"/>
      <c r="CD330" s="24"/>
      <c r="CE330" s="24"/>
      <c r="CF330" s="24"/>
      <c r="CG330" s="24"/>
      <c r="CH330" s="24"/>
      <c r="CI330" s="24"/>
    </row>
    <row r="331" spans="2:87" x14ac:dyDescent="0.25"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4"/>
      <c r="CA331" s="24"/>
      <c r="CB331" s="24"/>
      <c r="CC331" s="24"/>
      <c r="CD331" s="24"/>
      <c r="CE331" s="24"/>
      <c r="CF331" s="24"/>
      <c r="CG331" s="24"/>
      <c r="CH331" s="24"/>
      <c r="CI331" s="24"/>
    </row>
    <row r="332" spans="2:87" x14ac:dyDescent="0.25"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4"/>
      <c r="BZ332" s="24"/>
      <c r="CA332" s="24"/>
      <c r="CB332" s="24"/>
      <c r="CC332" s="24"/>
      <c r="CD332" s="24"/>
      <c r="CE332" s="24"/>
      <c r="CF332" s="24"/>
      <c r="CG332" s="24"/>
      <c r="CH332" s="24"/>
      <c r="CI332" s="24"/>
    </row>
    <row r="333" spans="2:87" x14ac:dyDescent="0.25"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4"/>
      <c r="CA333" s="24"/>
      <c r="CB333" s="24"/>
      <c r="CC333" s="24"/>
      <c r="CD333" s="24"/>
      <c r="CE333" s="24"/>
      <c r="CF333" s="24"/>
      <c r="CG333" s="24"/>
      <c r="CH333" s="24"/>
      <c r="CI333" s="24"/>
    </row>
    <row r="334" spans="2:87" x14ac:dyDescent="0.25"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  <c r="BH334" s="24"/>
      <c r="BI334" s="24"/>
      <c r="BJ334" s="24"/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4"/>
      <c r="BZ334" s="24"/>
      <c r="CA334" s="24"/>
      <c r="CB334" s="24"/>
      <c r="CC334" s="24"/>
      <c r="CD334" s="24"/>
      <c r="CE334" s="24"/>
      <c r="CF334" s="24"/>
      <c r="CG334" s="24"/>
      <c r="CH334" s="24"/>
      <c r="CI334" s="24"/>
    </row>
    <row r="335" spans="2:87" x14ac:dyDescent="0.25"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4"/>
      <c r="BZ335" s="24"/>
      <c r="CA335" s="24"/>
      <c r="CB335" s="24"/>
      <c r="CC335" s="24"/>
      <c r="CD335" s="24"/>
      <c r="CE335" s="24"/>
      <c r="CF335" s="24"/>
      <c r="CG335" s="24"/>
      <c r="CH335" s="24"/>
      <c r="CI335" s="24"/>
    </row>
    <row r="336" spans="2:87" x14ac:dyDescent="0.25"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  <c r="BH336" s="24"/>
      <c r="BI336" s="24"/>
      <c r="BJ336" s="24"/>
      <c r="BK336" s="24"/>
      <c r="BL336" s="24"/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  <c r="BY336" s="24"/>
      <c r="BZ336" s="24"/>
      <c r="CA336" s="24"/>
      <c r="CB336" s="24"/>
      <c r="CC336" s="24"/>
      <c r="CD336" s="24"/>
      <c r="CE336" s="24"/>
      <c r="CF336" s="24"/>
      <c r="CG336" s="24"/>
      <c r="CH336" s="24"/>
      <c r="CI336" s="24"/>
    </row>
    <row r="337" spans="2:87" x14ac:dyDescent="0.25"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I337" s="24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4"/>
      <c r="BZ337" s="24"/>
      <c r="CA337" s="24"/>
      <c r="CB337" s="24"/>
      <c r="CC337" s="24"/>
      <c r="CD337" s="24"/>
      <c r="CE337" s="24"/>
      <c r="CF337" s="24"/>
      <c r="CG337" s="24"/>
      <c r="CH337" s="24"/>
      <c r="CI337" s="24"/>
    </row>
    <row r="338" spans="2:87" x14ac:dyDescent="0.25"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  <c r="BH338" s="24"/>
      <c r="BI338" s="24"/>
      <c r="BJ338" s="24"/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  <c r="BY338" s="24"/>
      <c r="BZ338" s="24"/>
      <c r="CA338" s="24"/>
      <c r="CB338" s="24"/>
      <c r="CC338" s="24"/>
      <c r="CD338" s="24"/>
      <c r="CE338" s="24"/>
      <c r="CF338" s="24"/>
      <c r="CG338" s="24"/>
      <c r="CH338" s="24"/>
      <c r="CI338" s="24"/>
    </row>
    <row r="339" spans="2:87" x14ac:dyDescent="0.25"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I339" s="24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4"/>
      <c r="BZ339" s="24"/>
      <c r="CA339" s="24"/>
      <c r="CB339" s="24"/>
      <c r="CC339" s="24"/>
      <c r="CD339" s="24"/>
      <c r="CE339" s="24"/>
      <c r="CF339" s="24"/>
      <c r="CG339" s="24"/>
      <c r="CH339" s="24"/>
      <c r="CI339" s="24"/>
    </row>
    <row r="340" spans="2:87" x14ac:dyDescent="0.25"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  <c r="BH340" s="24"/>
      <c r="BI340" s="24"/>
      <c r="BJ340" s="24"/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4"/>
      <c r="BZ340" s="24"/>
      <c r="CA340" s="24"/>
      <c r="CB340" s="24"/>
      <c r="CC340" s="24"/>
      <c r="CD340" s="24"/>
      <c r="CE340" s="24"/>
      <c r="CF340" s="24"/>
      <c r="CG340" s="24"/>
      <c r="CH340" s="24"/>
      <c r="CI340" s="24"/>
    </row>
    <row r="341" spans="2:87" x14ac:dyDescent="0.25"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I341" s="24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4"/>
      <c r="CA341" s="24"/>
      <c r="CB341" s="24"/>
      <c r="CC341" s="24"/>
      <c r="CD341" s="24"/>
      <c r="CE341" s="24"/>
      <c r="CF341" s="24"/>
      <c r="CG341" s="24"/>
      <c r="CH341" s="24"/>
      <c r="CI341" s="24"/>
    </row>
    <row r="342" spans="2:87" x14ac:dyDescent="0.25"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  <c r="BH342" s="24"/>
      <c r="BI342" s="24"/>
      <c r="BJ342" s="24"/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4"/>
      <c r="BZ342" s="24"/>
      <c r="CA342" s="24"/>
      <c r="CB342" s="24"/>
      <c r="CC342" s="24"/>
      <c r="CD342" s="24"/>
      <c r="CE342" s="24"/>
      <c r="CF342" s="24"/>
      <c r="CG342" s="24"/>
      <c r="CH342" s="24"/>
      <c r="CI342" s="24"/>
    </row>
    <row r="343" spans="2:87" x14ac:dyDescent="0.25"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  <c r="BB343" s="24"/>
      <c r="BC343" s="24"/>
      <c r="BD343" s="24"/>
      <c r="BE343" s="24"/>
      <c r="BF343" s="24"/>
      <c r="BG343" s="24"/>
      <c r="BH343" s="24"/>
      <c r="BI343" s="24"/>
      <c r="BJ343" s="24"/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4"/>
      <c r="BZ343" s="24"/>
      <c r="CA343" s="24"/>
      <c r="CB343" s="24"/>
      <c r="CC343" s="24"/>
      <c r="CD343" s="24"/>
      <c r="CE343" s="24"/>
      <c r="CF343" s="24"/>
      <c r="CG343" s="24"/>
      <c r="CH343" s="24"/>
      <c r="CI343" s="24"/>
    </row>
    <row r="344" spans="2:87" x14ac:dyDescent="0.25"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4"/>
      <c r="BC344" s="24"/>
      <c r="BD344" s="24"/>
      <c r="BE344" s="24"/>
      <c r="BF344" s="24"/>
      <c r="BG344" s="24"/>
      <c r="BH344" s="24"/>
      <c r="BI344" s="24"/>
      <c r="BJ344" s="24"/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  <c r="BY344" s="24"/>
      <c r="BZ344" s="24"/>
      <c r="CA344" s="24"/>
      <c r="CB344" s="24"/>
      <c r="CC344" s="24"/>
      <c r="CD344" s="24"/>
      <c r="CE344" s="24"/>
      <c r="CF344" s="24"/>
      <c r="CG344" s="24"/>
      <c r="CH344" s="24"/>
      <c r="CI344" s="24"/>
    </row>
    <row r="345" spans="2:87" x14ac:dyDescent="0.25"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s="24"/>
      <c r="BD345" s="24"/>
      <c r="BE345" s="24"/>
      <c r="BF345" s="24"/>
      <c r="BG345" s="24"/>
      <c r="BH345" s="24"/>
      <c r="BI345" s="24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4"/>
      <c r="BZ345" s="24"/>
      <c r="CA345" s="24"/>
      <c r="CB345" s="24"/>
      <c r="CC345" s="24"/>
      <c r="CD345" s="24"/>
      <c r="CE345" s="24"/>
      <c r="CF345" s="24"/>
      <c r="CG345" s="24"/>
      <c r="CH345" s="24"/>
      <c r="CI345" s="24"/>
    </row>
    <row r="346" spans="2:87" x14ac:dyDescent="0.25"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  <c r="BC346" s="24"/>
      <c r="BD346" s="24"/>
      <c r="BE346" s="24"/>
      <c r="BF346" s="24"/>
      <c r="BG346" s="24"/>
      <c r="BH346" s="24"/>
      <c r="BI346" s="24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4"/>
      <c r="BZ346" s="24"/>
      <c r="CA346" s="24"/>
      <c r="CB346" s="24"/>
      <c r="CC346" s="24"/>
      <c r="CD346" s="24"/>
      <c r="CE346" s="24"/>
      <c r="CF346" s="24"/>
      <c r="CG346" s="24"/>
      <c r="CH346" s="24"/>
      <c r="CI346" s="24"/>
    </row>
    <row r="347" spans="2:87" x14ac:dyDescent="0.25"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  <c r="BB347" s="24"/>
      <c r="BC347" s="24"/>
      <c r="BD347" s="24"/>
      <c r="BE347" s="24"/>
      <c r="BF347" s="24"/>
      <c r="BG347" s="24"/>
      <c r="BH347" s="24"/>
      <c r="BI347" s="24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  <c r="BY347" s="24"/>
      <c r="BZ347" s="24"/>
      <c r="CA347" s="24"/>
      <c r="CB347" s="24"/>
      <c r="CC347" s="24"/>
      <c r="CD347" s="24"/>
      <c r="CE347" s="24"/>
      <c r="CF347" s="24"/>
      <c r="CG347" s="24"/>
      <c r="CH347" s="24"/>
      <c r="CI347" s="24"/>
    </row>
    <row r="348" spans="2:87" x14ac:dyDescent="0.25"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</row>
    <row r="349" spans="2:87" x14ac:dyDescent="0.25"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</row>
    <row r="350" spans="2:87" x14ac:dyDescent="0.25"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</row>
  </sheetData>
  <mergeCells count="1">
    <mergeCell ref="A1:BO1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Guilherme Ribeiro</cp:lastModifiedBy>
  <dcterms:created xsi:type="dcterms:W3CDTF">2024-12-19T13:13:10Z</dcterms:created>
  <dcterms:modified xsi:type="dcterms:W3CDTF">2025-11-10T02:26:01Z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